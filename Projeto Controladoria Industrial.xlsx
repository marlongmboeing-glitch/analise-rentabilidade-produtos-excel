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hidePivotFieldList="1" defaultThemeVersion="124226"/>
  <bookViews>
    <workbookView xWindow="240" yWindow="105" windowWidth="14805" windowHeight="8010" firstSheet="9" activeTab="12"/>
  </bookViews>
  <sheets>
    <sheet name="Produtos" sheetId="1" r:id="rId1"/>
    <sheet name="Importacao" sheetId="2" r:id="rId2"/>
    <sheet name="Producao" sheetId="3" r:id="rId3"/>
    <sheet name="Despesas venda" sheetId="4" r:id="rId4"/>
    <sheet name="Preço_venda" sheetId="7" r:id="rId5"/>
    <sheet name="Volume_vendido" sheetId="5" r:id="rId6"/>
    <sheet name="Dados_Analises" sheetId="6" r:id="rId7"/>
    <sheet name="1. Rentabilidade_produto" sheetId="9" r:id="rId8"/>
    <sheet name="2. Participacao_receita" sheetId="11" r:id="rId9"/>
    <sheet name="3. Participacao_MC" sheetId="12" r:id="rId10"/>
    <sheet name="4. Faturamento_anual" sheetId="13" r:id="rId11"/>
    <sheet name="5. Evolucao_mensal" sheetId="19" r:id="rId12"/>
    <sheet name="Dashboards" sheetId="18" r:id="rId13"/>
    <sheet name="Conclusoes_Gerenciais" sheetId="15" r:id="rId14"/>
  </sheets>
  <calcPr calcId="152511"/>
  <pivotCaches>
    <pivotCache cacheId="0" r:id="rId15"/>
    <pivotCache cacheId="1" r:id="rId16"/>
    <pivotCache cacheId="2" r:id="rId17"/>
    <pivotCache cacheId="3" r:id="rId18"/>
  </pivotCaches>
</workbook>
</file>

<file path=xl/calcChain.xml><?xml version="1.0" encoding="utf-8"?>
<calcChain xmlns="http://schemas.openxmlformats.org/spreadsheetml/2006/main"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" i="6"/>
  <c r="B3" i="5" l="1"/>
  <c r="B4" i="5"/>
  <c r="B2" i="5"/>
  <c r="E2" i="4" l="1"/>
  <c r="E3" i="4"/>
  <c r="E4" i="4"/>
  <c r="F2" i="3"/>
  <c r="F3" i="3"/>
  <c r="F4" i="3"/>
  <c r="G2" i="2"/>
  <c r="G3" i="2"/>
  <c r="G4" i="2"/>
</calcChain>
</file>

<file path=xl/sharedStrings.xml><?xml version="1.0" encoding="utf-8"?>
<sst xmlns="http://schemas.openxmlformats.org/spreadsheetml/2006/main" count="252" uniqueCount="80">
  <si>
    <t>P001</t>
  </si>
  <si>
    <t>P002</t>
  </si>
  <si>
    <t>P003</t>
  </si>
  <si>
    <t>CDI</t>
  </si>
  <si>
    <t>Bobina de ignicao</t>
  </si>
  <si>
    <t>Produto</t>
  </si>
  <si>
    <t>Regulador de voltagem</t>
  </si>
  <si>
    <t>Seguro</t>
  </si>
  <si>
    <t>Imposto_Importacao</t>
  </si>
  <si>
    <t>Energia</t>
  </si>
  <si>
    <t>Manutencao</t>
  </si>
  <si>
    <t>Supervisao</t>
  </si>
  <si>
    <t>Comissao</t>
  </si>
  <si>
    <t>Cod_Produto</t>
  </si>
  <si>
    <t>Custo_Aquisicao</t>
  </si>
  <si>
    <t>Custo_Producao</t>
  </si>
  <si>
    <t>Custo_Venda</t>
  </si>
  <si>
    <t>Preco_Venda</t>
  </si>
  <si>
    <t>MC</t>
  </si>
  <si>
    <t>MC%</t>
  </si>
  <si>
    <t>Desembaraço2</t>
  </si>
  <si>
    <t>Volume_Vendido</t>
  </si>
  <si>
    <t>Receita</t>
  </si>
  <si>
    <t>MC_Total</t>
  </si>
  <si>
    <t xml:space="preserve"> </t>
  </si>
  <si>
    <t>Custo_Componente</t>
  </si>
  <si>
    <t>Frete_Importacao</t>
  </si>
  <si>
    <t>MO_Direta</t>
  </si>
  <si>
    <t>Frete_Distribuicao</t>
  </si>
  <si>
    <t>Impostos_Venda</t>
  </si>
  <si>
    <t>Quant._Mes</t>
  </si>
  <si>
    <t>Rótulos de Linha</t>
  </si>
  <si>
    <t>Total Geral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</si>
  <si>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</si>
  <si>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</si>
  <si>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</si>
  <si>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</si>
  <si>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</si>
  <si>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</si>
  <si>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</si>
  <si>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</si>
  <si>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</si>
  <si>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</si>
  <si>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</si>
  <si>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</si>
  <si>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Coluna</t>
  </si>
  <si>
    <t>Pergunta</t>
  </si>
  <si>
    <t>Resposta</t>
  </si>
  <si>
    <t>Qual produto apresentou maior participação na receita?</t>
  </si>
  <si>
    <t>Bobina de Ignição (44,43%)</t>
  </si>
  <si>
    <t>Qual a margem deste produto?</t>
  </si>
  <si>
    <t>Qual produto apresentou maior rentabilidade percentual?</t>
  </si>
  <si>
    <t>Qual é o principal produto do portifólio?</t>
  </si>
  <si>
    <t>Bobina de Ignição.</t>
  </si>
  <si>
    <t>Existe oportunidade de investimento?</t>
  </si>
  <si>
    <t>Projeto: Simulação de Controladoria Industria</t>
  </si>
  <si>
    <t>Objetivo:</t>
  </si>
  <si>
    <t>Analisar receita, margem de contribuição, rentabilidade e participação dos produtos, apoiando decisões relacionadas a investimentos, crescimento e priorização do portfólio.</t>
  </si>
  <si>
    <t>O produto com maior participação na receita também apresenta a maior rentabilidade?</t>
  </si>
  <si>
    <t>Conclusão Executiva</t>
  </si>
  <si>
    <t>INDICADOR</t>
  </si>
  <si>
    <t>VALOR</t>
  </si>
  <si>
    <t>MC Total</t>
  </si>
  <si>
    <t>Bobina de Ignição</t>
  </si>
  <si>
    <t>Meses</t>
  </si>
  <si>
    <t>A Bobina de Ignição apresenta margem de contribuição de 43,05%.</t>
  </si>
  <si>
    <t>Receita Total</t>
  </si>
  <si>
    <t>receita Total</t>
  </si>
  <si>
    <t>Rótulo de linha</t>
  </si>
  <si>
    <t>CPV</t>
  </si>
  <si>
    <t>Soma de Soma de MC_Total2</t>
  </si>
  <si>
    <t>Maior Margem Absoluta R$</t>
  </si>
  <si>
    <t>Maior Margem Unitária</t>
  </si>
  <si>
    <t>CDI (58,33%)</t>
  </si>
  <si>
    <t>Bobina de ignição</t>
  </si>
  <si>
    <t>Soma de Quant._Mes</t>
  </si>
  <si>
    <t>CDI com 58,33%</t>
  </si>
  <si>
    <t>As margens de ambos os produtos são bem próximas, o que difere a oprtunidade para crescimento é o regulador que tem grande volume de vendas comparado  a bobina de ignição que é o produto com maior participação na receita da empresa.</t>
  </si>
  <si>
    <t xml:space="preserve">A análise demonstra que a Bobina de Ignição é o principal produto do portfólio, representando 44,43% da receita e 43,05% da margem de contribuição total. O produto apresentou crescimento consistente ao longo do período analisado, tornando-se o principal responsável pela geração de receita e resultado da empresa.
O CDI apresenta a maior rentabilidade percentual (58,33%), demonstrando elevada eficiência na conversão das vendas em margem de contribuição. Dessa forma, recomenda-se aprofundar a análise dos fatores que influenciam sua demanda e avaliar oportunidades de expansão comercial.
O Regulador de Voltagem apresentou comportamento estável ao longo do período, contribuindo para a diversificação do portfólio e manutenção da participação da empresa no mercado.
</t>
  </si>
  <si>
    <t>Não. A participação do Bobina de ignição  na receita é de 44,43% e na Margem é de 43,05%. Sua rentabilidade por unidade é a menor de todas: 55,56%.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</si>
</sst>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1" fillId="0" borderId="1" xfId="0" applyFont="1" applyBorder="1"/>
    <xf numFmtId="0" fontId="5" fillId="0" borderId="1" xfId="0" applyFont="1" applyBorder="1"/>
    <xf numFmtId="0" fontId="2" fillId="0" borderId="1" xfId="0" applyFont="1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3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7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Moeda" xfId="1" builtinId="4"/>
    <cellStyle name="Normal" xfId="0" builtinId="0"/>
  </cellStyles>
  <dxfs count="1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Controladoria Industrial.xlsx]2. Participacao_receita!Tabela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latin typeface="Arial" panose="020B0604020202020204" pitchFamily="34" charset="0"/>
                <a:cs typeface="Arial" panose="020B0604020202020204" pitchFamily="34" charset="0"/>
              </a:rPr>
              <a:t>Participação Receita</a:t>
            </a:r>
          </a:p>
        </c:rich>
      </c:tx>
      <c:layout>
        <c:manualLayout>
          <c:xMode val="edge"/>
          <c:yMode val="edge"/>
          <c:x val="9.8260553571709847E-2"/>
          <c:y val="4.1530632206502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92415034025394"/>
              <c:y val="-7.83919349845495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574646226680439"/>
              <c:y val="-3.01507442248268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813649008564662E-2"/>
              <c:y val="0.437185791259987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626938749794679"/>
          <c:y val="0.16918223584624356"/>
          <c:w val="0.65619616146479065"/>
          <c:h val="0.83081776415375641"/>
        </c:manualLayout>
      </c:layout>
      <c:doughnutChart>
        <c:varyColors val="1"/>
        <c:ser>
          <c:idx val="0"/>
          <c:order val="0"/>
          <c:tx>
            <c:strRef>
              <c:f>'2. Participacao_receita'!$B$3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2.3813649008564662E-2"/>
                  <c:y val="0.437185791259987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8574646226680439"/>
                  <c:y val="-3.01507442248268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192415034025394"/>
                  <c:y val="-7.8391934984549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Participacao_receita'!$A$4:$A$7</c:f>
              <c:strCache>
                <c:ptCount val="3"/>
                <c:pt idx="0">
                  <c:v>Bobina de ignicao</c:v>
                </c:pt>
                <c:pt idx="1">
                  <c:v>CDI</c:v>
                </c:pt>
                <c:pt idx="2">
                  <c:v>Regulador de voltagem</c:v>
                </c:pt>
              </c:strCache>
            </c:strRef>
          </c:cat>
          <c:val>
            <c:numRef>
              <c:f>'2. Participacao_receita'!$B$4:$B$7</c:f>
              <c:numCache>
                <c:formatCode>0.00%</c:formatCode>
                <c:ptCount val="3"/>
                <c:pt idx="0">
                  <c:v>0.44431687715269808</c:v>
                </c:pt>
                <c:pt idx="1">
                  <c:v>0.30723306544202067</c:v>
                </c:pt>
                <c:pt idx="2">
                  <c:v>0.24845005740528128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0663229279085"/>
          <c:y val="2.5153955845781284E-2"/>
          <c:w val="0.28678084655661695"/>
          <c:h val="0.27902515681489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Controladoria Industrial.xlsx]Dashboards!Tabela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Volume de venda</a:t>
            </a:r>
          </a:p>
        </c:rich>
      </c:tx>
      <c:layout>
        <c:manualLayout>
          <c:xMode val="edge"/>
          <c:yMode val="edge"/>
          <c:x val="6.197572080242101E-2"/>
          <c:y val="1.56868990596682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810945310372448E-3"/>
              <c:y val="-0.256555847185768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970231164678662E-2"/>
              <c:y val="-5.5033922890196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3933099969697273E-2"/>
              <c:y val="3.51366109054708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542767375991599"/>
          <c:y val="0"/>
          <c:w val="0.40867554085216212"/>
          <c:h val="1"/>
        </c:manualLayout>
      </c:layout>
      <c:doughnutChart>
        <c:varyColors val="1"/>
        <c:ser>
          <c:idx val="0"/>
          <c:order val="0"/>
          <c:tx>
            <c:strRef>
              <c:f>Dashboards!$B$28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7.6810945310372448E-3"/>
                  <c:y val="-0.256555847185768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9.3933099969697273E-2"/>
                  <c:y val="3.5136610905470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3970231164678662E-2"/>
                  <c:y val="-5.5033922890196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Dashboards!$A$29:$A$32</c:f>
              <c:strCache>
                <c:ptCount val="3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</c:strCache>
            </c:strRef>
          </c:cat>
          <c:val>
            <c:numRef>
              <c:f>Dashboards!$B$29:$B$32</c:f>
              <c:numCache>
                <c:formatCode>General</c:formatCode>
                <c:ptCount val="3"/>
                <c:pt idx="0">
                  <c:v>27050</c:v>
                </c:pt>
                <c:pt idx="1">
                  <c:v>22600</c:v>
                </c:pt>
                <c:pt idx="2">
                  <c:v>21800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Controladoria Industrial.xlsx]4. Faturamento_anual!Tabela dinâmica2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>
                <a:latin typeface="Arial" panose="020B0604020202020204" pitchFamily="34" charset="0"/>
                <a:cs typeface="Arial" panose="020B0604020202020204" pitchFamily="34" charset="0"/>
              </a:rPr>
              <a:t>Faturamento anual</a:t>
            </a:r>
          </a:p>
        </c:rich>
      </c:tx>
      <c:layout>
        <c:manualLayout>
          <c:xMode val="edge"/>
          <c:yMode val="edge"/>
          <c:x val="0.48671230836804846"/>
          <c:y val="7.1126244552757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023013934177003E-2"/>
          <c:y val="9.8047029765459121E-2"/>
          <c:w val="0.90976987577317403"/>
          <c:h val="0.8720204063681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 Faturamento_anual'!$B$1:$B$2</c:f>
              <c:strCache>
                <c:ptCount val="1"/>
                <c:pt idx="0">
                  <c:v>Bobina de ignicao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'4. Faturamento_anual'!$A$3:$A$15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'4. Faturamento_anual'!$B$3:$B$15</c:f>
              <c:numCache>
                <c:formatCode>_("R$"* #,##0.00_);_("R$"* \(#,##0.00\);_("R$"* "-"??_);_(@_)</c:formatCode>
                <c:ptCount val="12"/>
                <c:pt idx="0">
                  <c:v>180000</c:v>
                </c:pt>
                <c:pt idx="1">
                  <c:v>216000</c:v>
                </c:pt>
                <c:pt idx="2">
                  <c:v>288000</c:v>
                </c:pt>
                <c:pt idx="3">
                  <c:v>342000</c:v>
                </c:pt>
                <c:pt idx="4">
                  <c:v>324000</c:v>
                </c:pt>
                <c:pt idx="5">
                  <c:v>306000</c:v>
                </c:pt>
                <c:pt idx="6">
                  <c:v>324000</c:v>
                </c:pt>
                <c:pt idx="7">
                  <c:v>342000</c:v>
                </c:pt>
                <c:pt idx="8">
                  <c:v>378000</c:v>
                </c:pt>
                <c:pt idx="9">
                  <c:v>360000</c:v>
                </c:pt>
                <c:pt idx="10">
                  <c:v>396000</c:v>
                </c:pt>
                <c:pt idx="11">
                  <c:v>414000</c:v>
                </c:pt>
              </c:numCache>
            </c:numRef>
          </c:val>
        </c:ser>
        <c:ser>
          <c:idx val="1"/>
          <c:order val="1"/>
          <c:tx>
            <c:strRef>
              <c:f>'4. Faturamento_anual'!$C$1:$C$2</c:f>
              <c:strCache>
                <c:ptCount val="1"/>
                <c:pt idx="0">
                  <c:v>CDI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 Faturamento_anual'!$A$3:$A$15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'4. Faturamento_anual'!$C$3:$C$15</c:f>
              <c:numCache>
                <c:formatCode>_("R$"* #,##0.00_);_("R$"* \(#,##0.00\);_("R$"* "-"??_);_(@_)</c:formatCode>
                <c:ptCount val="12"/>
                <c:pt idx="0">
                  <c:v>180000</c:v>
                </c:pt>
                <c:pt idx="1">
                  <c:v>210000</c:v>
                </c:pt>
                <c:pt idx="2">
                  <c:v>216000</c:v>
                </c:pt>
                <c:pt idx="3">
                  <c:v>240000</c:v>
                </c:pt>
                <c:pt idx="4">
                  <c:v>210000</c:v>
                </c:pt>
                <c:pt idx="5">
                  <c:v>192000</c:v>
                </c:pt>
                <c:pt idx="6">
                  <c:v>198000</c:v>
                </c:pt>
                <c:pt idx="7">
                  <c:v>216000</c:v>
                </c:pt>
                <c:pt idx="8">
                  <c:v>240000</c:v>
                </c:pt>
                <c:pt idx="9">
                  <c:v>246000</c:v>
                </c:pt>
                <c:pt idx="10">
                  <c:v>258000</c:v>
                </c:pt>
                <c:pt idx="11">
                  <c:v>270000</c:v>
                </c:pt>
              </c:numCache>
            </c:numRef>
          </c:val>
        </c:ser>
        <c:ser>
          <c:idx val="2"/>
          <c:order val="2"/>
          <c:tx>
            <c:strRef>
              <c:f>'4. Faturamento_anual'!$D$1:$D$2</c:f>
              <c:strCache>
                <c:ptCount val="1"/>
                <c:pt idx="0">
                  <c:v>Regulador de voltagem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 Faturamento_anual'!$A$3:$A$15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'4. Faturamento_anual'!$D$3:$D$15</c:f>
              <c:numCache>
                <c:formatCode>_("R$"* #,##0.00_);_("R$"* \(#,##0.00\);_("R$"* "-"??_);_(@_)</c:formatCode>
                <c:ptCount val="12"/>
                <c:pt idx="0">
                  <c:v>200000</c:v>
                </c:pt>
                <c:pt idx="1">
                  <c:v>176000</c:v>
                </c:pt>
                <c:pt idx="2">
                  <c:v>188000</c:v>
                </c:pt>
                <c:pt idx="3">
                  <c:v>200000</c:v>
                </c:pt>
                <c:pt idx="4">
                  <c:v>184000</c:v>
                </c:pt>
                <c:pt idx="5">
                  <c:v>168000</c:v>
                </c:pt>
                <c:pt idx="6">
                  <c:v>172000</c:v>
                </c:pt>
                <c:pt idx="7">
                  <c:v>156000</c:v>
                </c:pt>
                <c:pt idx="8">
                  <c:v>168000</c:v>
                </c:pt>
                <c:pt idx="9">
                  <c:v>176000</c:v>
                </c:pt>
                <c:pt idx="10">
                  <c:v>184000</c:v>
                </c:pt>
                <c:pt idx="11">
                  <c:v>192000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7111760"/>
        <c:axId val="-1807101424"/>
      </c:barChart>
      <c:catAx>
        <c:axId val="-180711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07101424"/>
        <c:crosses val="autoZero"/>
        <c:auto val="1"/>
        <c:lblAlgn val="ctr"/>
        <c:lblOffset val="100"/>
        <c:noMultiLvlLbl val="0"/>
      </c:catAx>
      <c:valAx>
        <c:axId val="-18071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0711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198140012791344E-2"/>
          <c:y val="3.9952785787924515E-2"/>
          <c:w val="0.25584823591186939"/>
          <c:h val="0.37621936768989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Controladoria Industrial.xlsx]3. Participacao_MC!Tabela dinâmica1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latin typeface="Arial" panose="020B0604020202020204" pitchFamily="34" charset="0"/>
                <a:cs typeface="Arial" panose="020B0604020202020204" pitchFamily="34" charset="0"/>
              </a:rPr>
              <a:t>Participação</a:t>
            </a:r>
            <a:r>
              <a:rPr lang="en-US" sz="2000" b="1" baseline="0">
                <a:latin typeface="Arial" panose="020B0604020202020204" pitchFamily="34" charset="0"/>
                <a:cs typeface="Arial" panose="020B0604020202020204" pitchFamily="34" charset="0"/>
              </a:rPr>
              <a:t> MC</a:t>
            </a:r>
            <a:endParaRPr lang="en-US" sz="20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591159139968067"/>
          <c:y val="2.481108661417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647950548237545"/>
          <c:y val="5.7600046131616227E-2"/>
          <c:w val="0.64352050121657012"/>
          <c:h val="0.941609855872716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 Participacao_MC'!$B$1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Participacao_MC'!$A$2:$A$5</c:f>
              <c:strCache>
                <c:ptCount val="3"/>
                <c:pt idx="0">
                  <c:v>Bobina de ignição</c:v>
                </c:pt>
                <c:pt idx="1">
                  <c:v>CDI</c:v>
                </c:pt>
                <c:pt idx="2">
                  <c:v>Regulador de voltagem</c:v>
                </c:pt>
              </c:strCache>
            </c:strRef>
          </c:cat>
          <c:val>
            <c:numRef>
              <c:f>'3. Participacao_MC'!$B$2:$B$5</c:f>
              <c:numCache>
                <c:formatCode>0.00%</c:formatCode>
                <c:ptCount val="3"/>
                <c:pt idx="0">
                  <c:v>0.43045915643352911</c:v>
                </c:pt>
                <c:pt idx="1">
                  <c:v>0.33485718099305928</c:v>
                </c:pt>
                <c:pt idx="2">
                  <c:v>0.23468366257341164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807105776"/>
        <c:axId val="-1807107952"/>
      </c:barChart>
      <c:catAx>
        <c:axId val="-180710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807107952"/>
        <c:crosses val="autoZero"/>
        <c:auto val="1"/>
        <c:lblAlgn val="ctr"/>
        <c:lblOffset val="100"/>
        <c:noMultiLvlLbl val="0"/>
      </c:catAx>
      <c:valAx>
        <c:axId val="-18071079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-18071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1409700</xdr:colOff>
      <xdr:row>40</xdr:row>
      <xdr:rowOff>152401</xdr:rowOff>
    </xdr:from>
    <xdr:to>
      <xdr:col>14</xdr:col>
      <xdr:colOff>57150</xdr:colOff>
      <xdr:row>74</xdr:row>
      <xdr:rowOff>133351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9</xdr:row>
      <xdr:rowOff>133350</xdr:rowOff>
    </xdr:from>
    <xdr:to>
      <xdr:col>18</xdr:col>
      <xdr:colOff>295277</xdr:colOff>
      <xdr:row>35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133350</xdr:colOff>
      <xdr:row>44</xdr:row>
      <xdr:rowOff>84836</xdr:rowOff>
    </xdr:from>
    <xdr:to>
      <xdr:col>45</xdr:col>
      <xdr:colOff>419100</xdr:colOff>
      <xdr:row>85</xdr:row>
      <xdr:rowOff>38100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247650</xdr:colOff>
      <xdr:row>4</xdr:row>
      <xdr:rowOff>241759</xdr:rowOff>
    </xdr:from>
    <xdr:to>
      <xdr:col>39</xdr:col>
      <xdr:colOff>285750</xdr:colOff>
      <xdr:row>40</xdr:row>
      <xdr:rowOff>95250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_Estud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_Estudo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Controladoria%20Industrial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Controladoria%20Industrial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90.839950231479" createdVersion="5" refreshedVersion="5" minRefreshableVersion="3" recordCount="36">
  <cacheSource type="worksheet">
    <worksheetSource name="Tabela12" r:id="rId2"/>
  </cacheSource>
  <cacheFields count="12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Cod_Produto" numFmtId="0">
      <sharedItems/>
    </cacheField>
    <cacheField name="Produto" numFmtId="0">
      <sharedItems count="3">
        <s v="Regulador de voltagem"/>
        <s v="CDI"/>
        <s v="Bobina de ignicao"/>
      </sharedItems>
    </cacheField>
    <cacheField name="Custo_Aquisicao" numFmtId="0">
      <sharedItems containsSemiMixedTypes="0" containsString="0" containsNumber="1" containsInteger="1" minValue="28" maxValue="65"/>
    </cacheField>
    <cacheField name="Custo_Producao" numFmtId="0">
      <sharedItems containsSemiMixedTypes="0" containsString="0" containsNumber="1" containsInteger="1" minValue="7" maxValue="15"/>
    </cacheField>
    <cacheField name="Custo_Venda" numFmtId="0">
      <sharedItems containsSemiMixedTypes="0" containsString="0" containsNumber="1" containsInteger="1" minValue="19" maxValue="40"/>
    </cacheField>
    <cacheField name="Preco_Venda" numFmtId="0">
      <sharedItems containsSemiMixedTypes="0" containsString="0" containsNumber="1" containsInteger="1" minValue="80" maxValue="180"/>
    </cacheField>
    <cacheField name="MC" numFmtId="0">
      <sharedItems containsSemiMixedTypes="0" containsString="0" containsNumber="1" containsInteger="1" minValue="26" maxValue="60"/>
    </cacheField>
    <cacheField name="MC%" numFmtId="0">
      <sharedItems containsSemiMixedTypes="0" containsString="0" containsNumber="1" minValue="0.32500000000000001" maxValue="0.375"/>
    </cacheField>
    <cacheField name="Volume_Vendido" numFmtId="0">
      <sharedItems containsSemiMixedTypes="0" containsString="0" containsNumber="1" containsInteger="1" minValue="1000" maxValue="2500"/>
    </cacheField>
    <cacheField name="Receita" numFmtId="0">
      <sharedItems containsSemiMixedTypes="0" containsString="0" containsNumber="1" containsInteger="1" minValue="156000" maxValue="414000"/>
    </cacheField>
    <cacheField name="MC_Total" numFmtId="0">
      <sharedItems containsSemiMixedTypes="0" containsString="0" containsNumber="1" containsInteger="1" minValue="50700" maxValue="13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6191.33418784722" createdVersion="5" refreshedVersion="5" minRefreshableVersion="3" recordCount="37">
  <cacheSource type="worksheet">
    <worksheetSource ref="B1:L1048576" sheet="Dados_Analises" r:id="rId2"/>
  </cacheSource>
  <cacheFields count="11">
    <cacheField name="Cod_Produto" numFmtId="0">
      <sharedItems containsBlank="1" count="4">
        <s v="P001"/>
        <s v="P002"/>
        <s v="P003"/>
        <m/>
      </sharedItems>
    </cacheField>
    <cacheField name="Produto" numFmtId="0">
      <sharedItems containsBlank="1" count="4">
        <s v="Regulador de voltagem"/>
        <s v="CDI"/>
        <s v="Bobina de ignicao"/>
        <m/>
      </sharedItems>
    </cacheField>
    <cacheField name="Custo_Aquisicao" numFmtId="0">
      <sharedItems containsString="0" containsBlank="1" containsNumber="1" containsInteger="1" minValue="28" maxValue="65"/>
    </cacheField>
    <cacheField name="Custo_Producao" numFmtId="0">
      <sharedItems containsString="0" containsBlank="1" containsNumber="1" containsInteger="1" minValue="7" maxValue="15"/>
    </cacheField>
    <cacheField name="Custo_Venda" numFmtId="0">
      <sharedItems containsString="0" containsBlank="1" containsNumber="1" containsInteger="1" minValue="19" maxValue="40"/>
    </cacheField>
    <cacheField name="Preco_Venda" numFmtId="0">
      <sharedItems containsString="0" containsBlank="1" containsNumber="1" containsInteger="1" minValue="80" maxValue="180"/>
    </cacheField>
    <cacheField name="MC" numFmtId="0">
      <sharedItems containsString="0" containsBlank="1" containsNumber="1" containsInteger="1" minValue="26" maxValue="60"/>
    </cacheField>
    <cacheField name="MC%" numFmtId="0">
      <sharedItems containsString="0" containsBlank="1" containsNumber="1" minValue="0.32500000000000001" maxValue="0.375" count="4">
        <n v="0.32500000000000001"/>
        <n v="0.375"/>
        <n v="0.33333333333333331"/>
        <m/>
      </sharedItems>
    </cacheField>
    <cacheField name="Volume_Vendido" numFmtId="0">
      <sharedItems containsString="0" containsBlank="1" containsNumber="1" containsInteger="1" minValue="1000" maxValue="2500" count="21">
        <n v="2500"/>
        <n v="1500"/>
        <n v="1000"/>
        <n v="2200"/>
        <n v="1750"/>
        <n v="1200"/>
        <n v="2350"/>
        <n v="1800"/>
        <n v="1600"/>
        <n v="2000"/>
        <n v="1900"/>
        <n v="2300"/>
        <n v="2100"/>
        <n v="1700"/>
        <n v="2150"/>
        <n v="1650"/>
        <n v="1950"/>
        <n v="2050"/>
        <n v="2400"/>
        <n v="2250"/>
        <m/>
      </sharedItems>
    </cacheField>
    <cacheField name="Receita" numFmtId="0">
      <sharedItems containsString="0" containsBlank="1" containsNumber="1" containsInteger="1" minValue="156000" maxValue="414000"/>
    </cacheField>
    <cacheField name="MC_Total" numFmtId="0">
      <sharedItems containsString="0" containsBlank="1" containsNumber="1" containsInteger="1" minValue="50700" maxValue="138000" count="27">
        <n v="65000"/>
        <n v="67500"/>
        <n v="60000"/>
        <n v="57200"/>
        <n v="78750"/>
        <n v="72000"/>
        <n v="61100"/>
        <n v="81000"/>
        <n v="96000"/>
        <n v="90000"/>
        <n v="114000"/>
        <n v="59800"/>
        <n v="108000"/>
        <n v="54600"/>
        <n v="102000"/>
        <n v="55900"/>
        <n v="74250"/>
        <n v="50700"/>
        <n v="126000"/>
        <n v="92250"/>
        <n v="120000"/>
        <n v="96750"/>
        <n v="132000"/>
        <n v="62400"/>
        <n v="101250"/>
        <n v="138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or" refreshedDate="46192.434286574076" createdVersion="5" refreshedVersion="5" minRefreshableVersion="3" recordCount="4">
  <cacheSource type="worksheet">
    <worksheetSource ref="A1:B5" sheet="3. Participacao_MC" r:id="rId2"/>
  </cacheSource>
  <cacheFields count="2">
    <cacheField name="Produto" numFmtId="0">
      <sharedItems count="4">
        <s v="Bobina de ignicao (MC 33,3%)"/>
        <s v="CDI (MC 37,5%)"/>
        <s v="Regulador de voltagem (MC 32,5)"/>
        <s v="Total Geral"/>
      </sharedItems>
    </cacheField>
    <cacheField name="Soma de MC_Total" numFmtId="10">
      <sharedItems containsSemiMixedTypes="0" containsString="0" containsNumber="1" minValue="0.23468366257341164" maxValue="1" count="4">
        <n v="0.43045915643352911"/>
        <n v="0.33485718099305928"/>
        <n v="0.23468366257341164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or" refreshedDate="46192.597301967595" createdVersion="5" refreshedVersion="5" minRefreshableVersion="3" recordCount="3">
  <cacheSource type="worksheet">
    <worksheetSource name="Tabela11" r:id="rId2"/>
  </cacheSource>
  <cacheFields count="2">
    <cacheField name="Cod_Produto" numFmtId="0">
      <sharedItems count="3">
        <s v="P001"/>
        <s v="P002"/>
        <s v="P003"/>
      </sharedItems>
    </cacheField>
    <cacheField name="Quant._Mes" numFmtId="0">
      <sharedItems containsSemiMixedTypes="0" containsString="0" containsNumber="1" containsInteger="1" minValue="21800" maxValue="27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s v="P001"/>
    <x v="0"/>
    <n v="28"/>
    <n v="7"/>
    <n v="19"/>
    <n v="80"/>
    <n v="26"/>
    <n v="0.32500000000000001"/>
    <n v="2500"/>
    <n v="200000"/>
    <n v="65000"/>
  </r>
  <r>
    <x v="0"/>
    <s v="P002"/>
    <x v="1"/>
    <n v="40"/>
    <n v="10"/>
    <n v="25"/>
    <n v="120"/>
    <n v="45"/>
    <n v="0.375"/>
    <n v="1500"/>
    <n v="180000"/>
    <n v="67500"/>
  </r>
  <r>
    <x v="0"/>
    <s v="P003"/>
    <x v="2"/>
    <n v="65"/>
    <n v="15"/>
    <n v="40"/>
    <n v="180"/>
    <n v="60"/>
    <n v="0.33333333333333331"/>
    <n v="1000"/>
    <n v="180000"/>
    <n v="60000"/>
  </r>
  <r>
    <x v="1"/>
    <s v="P001"/>
    <x v="0"/>
    <n v="28"/>
    <n v="7"/>
    <n v="19"/>
    <n v="80"/>
    <n v="26"/>
    <n v="0.32500000000000001"/>
    <n v="2200"/>
    <n v="176000"/>
    <n v="57200"/>
  </r>
  <r>
    <x v="1"/>
    <s v="P002"/>
    <x v="1"/>
    <n v="40"/>
    <n v="10"/>
    <n v="25"/>
    <n v="120"/>
    <n v="45"/>
    <n v="0.375"/>
    <n v="1750"/>
    <n v="210000"/>
    <n v="78750"/>
  </r>
  <r>
    <x v="1"/>
    <s v="P003"/>
    <x v="2"/>
    <n v="65"/>
    <n v="15"/>
    <n v="40"/>
    <n v="180"/>
    <n v="60"/>
    <n v="0.33333333333333331"/>
    <n v="1200"/>
    <n v="216000"/>
    <n v="72000"/>
  </r>
  <r>
    <x v="2"/>
    <s v="P001"/>
    <x v="0"/>
    <n v="28"/>
    <n v="7"/>
    <n v="19"/>
    <n v="80"/>
    <n v="26"/>
    <n v="0.32500000000000001"/>
    <n v="2350"/>
    <n v="188000"/>
    <n v="61100"/>
  </r>
  <r>
    <x v="2"/>
    <s v="P002"/>
    <x v="1"/>
    <n v="40"/>
    <n v="10"/>
    <n v="25"/>
    <n v="120"/>
    <n v="45"/>
    <n v="0.375"/>
    <n v="1800"/>
    <n v="216000"/>
    <n v="81000"/>
  </r>
  <r>
    <x v="2"/>
    <s v="P003"/>
    <x v="2"/>
    <n v="65"/>
    <n v="15"/>
    <n v="40"/>
    <n v="180"/>
    <n v="60"/>
    <n v="0.33333333333333331"/>
    <n v="1600"/>
    <n v="288000"/>
    <n v="96000"/>
  </r>
  <r>
    <x v="3"/>
    <s v="P001"/>
    <x v="0"/>
    <n v="28"/>
    <n v="7"/>
    <n v="19"/>
    <n v="80"/>
    <n v="26"/>
    <n v="0.32500000000000001"/>
    <n v="2500"/>
    <n v="200000"/>
    <n v="65000"/>
  </r>
  <r>
    <x v="3"/>
    <s v="P002"/>
    <x v="1"/>
    <n v="40"/>
    <n v="10"/>
    <n v="25"/>
    <n v="120"/>
    <n v="45"/>
    <n v="0.375"/>
    <n v="2000"/>
    <n v="240000"/>
    <n v="90000"/>
  </r>
  <r>
    <x v="3"/>
    <s v="P003"/>
    <x v="2"/>
    <n v="65"/>
    <n v="15"/>
    <n v="40"/>
    <n v="180"/>
    <n v="60"/>
    <n v="0.33333333333333331"/>
    <n v="1900"/>
    <n v="342000"/>
    <n v="114000"/>
  </r>
  <r>
    <x v="4"/>
    <s v="P001"/>
    <x v="0"/>
    <n v="28"/>
    <n v="7"/>
    <n v="19"/>
    <n v="80"/>
    <n v="26"/>
    <n v="0.32500000000000001"/>
    <n v="2300"/>
    <n v="184000"/>
    <n v="59800"/>
  </r>
  <r>
    <x v="4"/>
    <s v="P002"/>
    <x v="1"/>
    <n v="40"/>
    <n v="10"/>
    <n v="25"/>
    <n v="120"/>
    <n v="45"/>
    <n v="0.375"/>
    <n v="1750"/>
    <n v="210000"/>
    <n v="78750"/>
  </r>
  <r>
    <x v="4"/>
    <s v="P003"/>
    <x v="2"/>
    <n v="65"/>
    <n v="15"/>
    <n v="40"/>
    <n v="180"/>
    <n v="60"/>
    <n v="0.33333333333333331"/>
    <n v="1800"/>
    <n v="324000"/>
    <n v="108000"/>
  </r>
  <r>
    <x v="5"/>
    <s v="P001"/>
    <x v="0"/>
    <n v="28"/>
    <n v="7"/>
    <n v="19"/>
    <n v="80"/>
    <n v="26"/>
    <n v="0.32500000000000001"/>
    <n v="2100"/>
    <n v="168000"/>
    <n v="54600"/>
  </r>
  <r>
    <x v="5"/>
    <s v="P002"/>
    <x v="1"/>
    <n v="40"/>
    <n v="10"/>
    <n v="25"/>
    <n v="120"/>
    <n v="45"/>
    <n v="0.375"/>
    <n v="1600"/>
    <n v="192000"/>
    <n v="72000"/>
  </r>
  <r>
    <x v="5"/>
    <s v="P003"/>
    <x v="2"/>
    <n v="65"/>
    <n v="15"/>
    <n v="40"/>
    <n v="180"/>
    <n v="60"/>
    <n v="0.33333333333333331"/>
    <n v="1700"/>
    <n v="306000"/>
    <n v="102000"/>
  </r>
  <r>
    <x v="6"/>
    <s v="P001"/>
    <x v="0"/>
    <n v="28"/>
    <n v="7"/>
    <n v="19"/>
    <n v="80"/>
    <n v="26"/>
    <n v="0.32500000000000001"/>
    <n v="2150"/>
    <n v="172000"/>
    <n v="55900"/>
  </r>
  <r>
    <x v="6"/>
    <s v="P002"/>
    <x v="1"/>
    <n v="40"/>
    <n v="10"/>
    <n v="25"/>
    <n v="120"/>
    <n v="45"/>
    <n v="0.375"/>
    <n v="1650"/>
    <n v="198000"/>
    <n v="74250"/>
  </r>
  <r>
    <x v="6"/>
    <s v="P003"/>
    <x v="2"/>
    <n v="65"/>
    <n v="15"/>
    <n v="40"/>
    <n v="180"/>
    <n v="60"/>
    <n v="0.33333333333333331"/>
    <n v="1800"/>
    <n v="324000"/>
    <n v="108000"/>
  </r>
  <r>
    <x v="7"/>
    <s v="P001"/>
    <x v="0"/>
    <n v="28"/>
    <n v="7"/>
    <n v="19"/>
    <n v="80"/>
    <n v="26"/>
    <n v="0.32500000000000001"/>
    <n v="1950"/>
    <n v="156000"/>
    <n v="50700"/>
  </r>
  <r>
    <x v="7"/>
    <s v="P002"/>
    <x v="1"/>
    <n v="40"/>
    <n v="10"/>
    <n v="25"/>
    <n v="120"/>
    <n v="45"/>
    <n v="0.375"/>
    <n v="1800"/>
    <n v="216000"/>
    <n v="81000"/>
  </r>
  <r>
    <x v="7"/>
    <s v="P003"/>
    <x v="2"/>
    <n v="65"/>
    <n v="15"/>
    <n v="40"/>
    <n v="180"/>
    <n v="60"/>
    <n v="0.33333333333333331"/>
    <n v="1900"/>
    <n v="342000"/>
    <n v="114000"/>
  </r>
  <r>
    <x v="8"/>
    <s v="P001"/>
    <x v="0"/>
    <n v="28"/>
    <n v="7"/>
    <n v="19"/>
    <n v="80"/>
    <n v="26"/>
    <n v="0.32500000000000001"/>
    <n v="2100"/>
    <n v="168000"/>
    <n v="54600"/>
  </r>
  <r>
    <x v="8"/>
    <s v="P002"/>
    <x v="1"/>
    <n v="40"/>
    <n v="10"/>
    <n v="25"/>
    <n v="120"/>
    <n v="45"/>
    <n v="0.375"/>
    <n v="2000"/>
    <n v="240000"/>
    <n v="90000"/>
  </r>
  <r>
    <x v="8"/>
    <s v="P003"/>
    <x v="2"/>
    <n v="65"/>
    <n v="15"/>
    <n v="40"/>
    <n v="180"/>
    <n v="60"/>
    <n v="0.33333333333333331"/>
    <n v="2100"/>
    <n v="378000"/>
    <n v="126000"/>
  </r>
  <r>
    <x v="9"/>
    <s v="P001"/>
    <x v="0"/>
    <n v="28"/>
    <n v="7"/>
    <n v="19"/>
    <n v="80"/>
    <n v="26"/>
    <n v="0.32500000000000001"/>
    <n v="2200"/>
    <n v="176000"/>
    <n v="57200"/>
  </r>
  <r>
    <x v="9"/>
    <s v="P002"/>
    <x v="1"/>
    <n v="40"/>
    <n v="10"/>
    <n v="25"/>
    <n v="120"/>
    <n v="45"/>
    <n v="0.375"/>
    <n v="2050"/>
    <n v="246000"/>
    <n v="92250"/>
  </r>
  <r>
    <x v="9"/>
    <s v="P003"/>
    <x v="2"/>
    <n v="65"/>
    <n v="15"/>
    <n v="40"/>
    <n v="180"/>
    <n v="60"/>
    <n v="0.33333333333333331"/>
    <n v="2000"/>
    <n v="360000"/>
    <n v="120000"/>
  </r>
  <r>
    <x v="10"/>
    <s v="P001"/>
    <x v="0"/>
    <n v="28"/>
    <n v="7"/>
    <n v="19"/>
    <n v="80"/>
    <n v="26"/>
    <n v="0.32500000000000001"/>
    <n v="2300"/>
    <n v="184000"/>
    <n v="59800"/>
  </r>
  <r>
    <x v="10"/>
    <s v="P002"/>
    <x v="1"/>
    <n v="40"/>
    <n v="10"/>
    <n v="25"/>
    <n v="120"/>
    <n v="45"/>
    <n v="0.375"/>
    <n v="2150"/>
    <n v="258000"/>
    <n v="96750"/>
  </r>
  <r>
    <x v="10"/>
    <s v="P003"/>
    <x v="2"/>
    <n v="65"/>
    <n v="15"/>
    <n v="40"/>
    <n v="180"/>
    <n v="60"/>
    <n v="0.33333333333333331"/>
    <n v="2200"/>
    <n v="396000"/>
    <n v="132000"/>
  </r>
  <r>
    <x v="11"/>
    <s v="P001"/>
    <x v="0"/>
    <n v="28"/>
    <n v="7"/>
    <n v="19"/>
    <n v="80"/>
    <n v="26"/>
    <n v="0.32500000000000001"/>
    <n v="2400"/>
    <n v="192000"/>
    <n v="62400"/>
  </r>
  <r>
    <x v="11"/>
    <s v="P002"/>
    <x v="1"/>
    <n v="40"/>
    <n v="10"/>
    <n v="25"/>
    <n v="120"/>
    <n v="45"/>
    <n v="0.375"/>
    <n v="2250"/>
    <n v="270000"/>
    <n v="101250"/>
  </r>
  <r>
    <x v="11"/>
    <s v="P003"/>
    <x v="2"/>
    <n v="65"/>
    <n v="15"/>
    <n v="40"/>
    <n v="180"/>
    <n v="60"/>
    <n v="0.33333333333333331"/>
    <n v="2300"/>
    <n v="414000"/>
    <n v="13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">
  <r>
    <x v="0"/>
    <x v="0"/>
    <n v="28"/>
    <n v="7"/>
    <n v="19"/>
    <n v="80"/>
    <n v="26"/>
    <x v="0"/>
    <x v="0"/>
    <n v="200000"/>
    <x v="0"/>
  </r>
  <r>
    <x v="1"/>
    <x v="1"/>
    <n v="40"/>
    <n v="10"/>
    <n v="25"/>
    <n v="120"/>
    <n v="45"/>
    <x v="1"/>
    <x v="1"/>
    <n v="180000"/>
    <x v="1"/>
  </r>
  <r>
    <x v="2"/>
    <x v="2"/>
    <n v="65"/>
    <n v="15"/>
    <n v="40"/>
    <n v="180"/>
    <n v="60"/>
    <x v="2"/>
    <x v="2"/>
    <n v="180000"/>
    <x v="2"/>
  </r>
  <r>
    <x v="0"/>
    <x v="0"/>
    <n v="28"/>
    <n v="7"/>
    <n v="19"/>
    <n v="80"/>
    <n v="26"/>
    <x v="0"/>
    <x v="3"/>
    <n v="176000"/>
    <x v="3"/>
  </r>
  <r>
    <x v="1"/>
    <x v="1"/>
    <n v="40"/>
    <n v="10"/>
    <n v="25"/>
    <n v="120"/>
    <n v="45"/>
    <x v="1"/>
    <x v="4"/>
    <n v="210000"/>
    <x v="4"/>
  </r>
  <r>
    <x v="2"/>
    <x v="2"/>
    <n v="65"/>
    <n v="15"/>
    <n v="40"/>
    <n v="180"/>
    <n v="60"/>
    <x v="2"/>
    <x v="5"/>
    <n v="216000"/>
    <x v="5"/>
  </r>
  <r>
    <x v="0"/>
    <x v="0"/>
    <n v="28"/>
    <n v="7"/>
    <n v="19"/>
    <n v="80"/>
    <n v="26"/>
    <x v="0"/>
    <x v="6"/>
    <n v="188000"/>
    <x v="6"/>
  </r>
  <r>
    <x v="1"/>
    <x v="1"/>
    <n v="40"/>
    <n v="10"/>
    <n v="25"/>
    <n v="120"/>
    <n v="45"/>
    <x v="1"/>
    <x v="7"/>
    <n v="216000"/>
    <x v="7"/>
  </r>
  <r>
    <x v="2"/>
    <x v="2"/>
    <n v="65"/>
    <n v="15"/>
    <n v="40"/>
    <n v="180"/>
    <n v="60"/>
    <x v="2"/>
    <x v="8"/>
    <n v="288000"/>
    <x v="8"/>
  </r>
  <r>
    <x v="0"/>
    <x v="0"/>
    <n v="28"/>
    <n v="7"/>
    <n v="19"/>
    <n v="80"/>
    <n v="26"/>
    <x v="0"/>
    <x v="0"/>
    <n v="200000"/>
    <x v="0"/>
  </r>
  <r>
    <x v="1"/>
    <x v="1"/>
    <n v="40"/>
    <n v="10"/>
    <n v="25"/>
    <n v="120"/>
    <n v="45"/>
    <x v="1"/>
    <x v="9"/>
    <n v="240000"/>
    <x v="9"/>
  </r>
  <r>
    <x v="2"/>
    <x v="2"/>
    <n v="65"/>
    <n v="15"/>
    <n v="40"/>
    <n v="180"/>
    <n v="60"/>
    <x v="2"/>
    <x v="10"/>
    <n v="342000"/>
    <x v="10"/>
  </r>
  <r>
    <x v="0"/>
    <x v="0"/>
    <n v="28"/>
    <n v="7"/>
    <n v="19"/>
    <n v="80"/>
    <n v="26"/>
    <x v="0"/>
    <x v="11"/>
    <n v="184000"/>
    <x v="11"/>
  </r>
  <r>
    <x v="1"/>
    <x v="1"/>
    <n v="40"/>
    <n v="10"/>
    <n v="25"/>
    <n v="120"/>
    <n v="45"/>
    <x v="1"/>
    <x v="4"/>
    <n v="210000"/>
    <x v="4"/>
  </r>
  <r>
    <x v="2"/>
    <x v="2"/>
    <n v="65"/>
    <n v="15"/>
    <n v="40"/>
    <n v="180"/>
    <n v="60"/>
    <x v="2"/>
    <x v="7"/>
    <n v="324000"/>
    <x v="12"/>
  </r>
  <r>
    <x v="0"/>
    <x v="0"/>
    <n v="28"/>
    <n v="7"/>
    <n v="19"/>
    <n v="80"/>
    <n v="26"/>
    <x v="0"/>
    <x v="12"/>
    <n v="168000"/>
    <x v="13"/>
  </r>
  <r>
    <x v="1"/>
    <x v="1"/>
    <n v="40"/>
    <n v="10"/>
    <n v="25"/>
    <n v="120"/>
    <n v="45"/>
    <x v="1"/>
    <x v="8"/>
    <n v="192000"/>
    <x v="5"/>
  </r>
  <r>
    <x v="2"/>
    <x v="2"/>
    <n v="65"/>
    <n v="15"/>
    <n v="40"/>
    <n v="180"/>
    <n v="60"/>
    <x v="2"/>
    <x v="13"/>
    <n v="306000"/>
    <x v="14"/>
  </r>
  <r>
    <x v="0"/>
    <x v="0"/>
    <n v="28"/>
    <n v="7"/>
    <n v="19"/>
    <n v="80"/>
    <n v="26"/>
    <x v="0"/>
    <x v="14"/>
    <n v="172000"/>
    <x v="15"/>
  </r>
  <r>
    <x v="1"/>
    <x v="1"/>
    <n v="40"/>
    <n v="10"/>
    <n v="25"/>
    <n v="120"/>
    <n v="45"/>
    <x v="1"/>
    <x v="15"/>
    <n v="198000"/>
    <x v="16"/>
  </r>
  <r>
    <x v="2"/>
    <x v="2"/>
    <n v="65"/>
    <n v="15"/>
    <n v="40"/>
    <n v="180"/>
    <n v="60"/>
    <x v="2"/>
    <x v="7"/>
    <n v="324000"/>
    <x v="12"/>
  </r>
  <r>
    <x v="0"/>
    <x v="0"/>
    <n v="28"/>
    <n v="7"/>
    <n v="19"/>
    <n v="80"/>
    <n v="26"/>
    <x v="0"/>
    <x v="16"/>
    <n v="156000"/>
    <x v="17"/>
  </r>
  <r>
    <x v="1"/>
    <x v="1"/>
    <n v="40"/>
    <n v="10"/>
    <n v="25"/>
    <n v="120"/>
    <n v="45"/>
    <x v="1"/>
    <x v="7"/>
    <n v="216000"/>
    <x v="7"/>
  </r>
  <r>
    <x v="2"/>
    <x v="2"/>
    <n v="65"/>
    <n v="15"/>
    <n v="40"/>
    <n v="180"/>
    <n v="60"/>
    <x v="2"/>
    <x v="10"/>
    <n v="342000"/>
    <x v="10"/>
  </r>
  <r>
    <x v="0"/>
    <x v="0"/>
    <n v="28"/>
    <n v="7"/>
    <n v="19"/>
    <n v="80"/>
    <n v="26"/>
    <x v="0"/>
    <x v="12"/>
    <n v="168000"/>
    <x v="13"/>
  </r>
  <r>
    <x v="1"/>
    <x v="1"/>
    <n v="40"/>
    <n v="10"/>
    <n v="25"/>
    <n v="120"/>
    <n v="45"/>
    <x v="1"/>
    <x v="9"/>
    <n v="240000"/>
    <x v="9"/>
  </r>
  <r>
    <x v="2"/>
    <x v="2"/>
    <n v="65"/>
    <n v="15"/>
    <n v="40"/>
    <n v="180"/>
    <n v="60"/>
    <x v="2"/>
    <x v="12"/>
    <n v="378000"/>
    <x v="18"/>
  </r>
  <r>
    <x v="0"/>
    <x v="0"/>
    <n v="28"/>
    <n v="7"/>
    <n v="19"/>
    <n v="80"/>
    <n v="26"/>
    <x v="0"/>
    <x v="3"/>
    <n v="176000"/>
    <x v="3"/>
  </r>
  <r>
    <x v="1"/>
    <x v="1"/>
    <n v="40"/>
    <n v="10"/>
    <n v="25"/>
    <n v="120"/>
    <n v="45"/>
    <x v="1"/>
    <x v="17"/>
    <n v="246000"/>
    <x v="19"/>
  </r>
  <r>
    <x v="2"/>
    <x v="2"/>
    <n v="65"/>
    <n v="15"/>
    <n v="40"/>
    <n v="180"/>
    <n v="60"/>
    <x v="2"/>
    <x v="9"/>
    <n v="360000"/>
    <x v="20"/>
  </r>
  <r>
    <x v="0"/>
    <x v="0"/>
    <n v="28"/>
    <n v="7"/>
    <n v="19"/>
    <n v="80"/>
    <n v="26"/>
    <x v="0"/>
    <x v="11"/>
    <n v="184000"/>
    <x v="11"/>
  </r>
  <r>
    <x v="1"/>
    <x v="1"/>
    <n v="40"/>
    <n v="10"/>
    <n v="25"/>
    <n v="120"/>
    <n v="45"/>
    <x v="1"/>
    <x v="14"/>
    <n v="258000"/>
    <x v="21"/>
  </r>
  <r>
    <x v="2"/>
    <x v="2"/>
    <n v="65"/>
    <n v="15"/>
    <n v="40"/>
    <n v="180"/>
    <n v="60"/>
    <x v="2"/>
    <x v="3"/>
    <n v="396000"/>
    <x v="22"/>
  </r>
  <r>
    <x v="0"/>
    <x v="0"/>
    <n v="28"/>
    <n v="7"/>
    <n v="19"/>
    <n v="80"/>
    <n v="26"/>
    <x v="0"/>
    <x v="18"/>
    <n v="192000"/>
    <x v="23"/>
  </r>
  <r>
    <x v="1"/>
    <x v="1"/>
    <n v="40"/>
    <n v="10"/>
    <n v="25"/>
    <n v="120"/>
    <n v="45"/>
    <x v="1"/>
    <x v="19"/>
    <n v="270000"/>
    <x v="24"/>
  </r>
  <r>
    <x v="2"/>
    <x v="2"/>
    <n v="65"/>
    <n v="15"/>
    <n v="40"/>
    <n v="180"/>
    <n v="60"/>
    <x v="2"/>
    <x v="11"/>
    <n v="414000"/>
    <x v="25"/>
  </r>
  <r>
    <x v="3"/>
    <x v="3"/>
    <m/>
    <m/>
    <m/>
    <m/>
    <m/>
    <x v="3"/>
    <x v="20"/>
    <m/>
    <x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x v="0"/>
    <x v="0"/>
  </r>
  <r>
    <x v="1"/>
    <x v="1"/>
  </r>
  <r>
    <x v="2"/>
    <x v="2"/>
  </r>
  <r>
    <x v="3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x v="0"/>
    <n v="27050"/>
  </r>
  <r>
    <x v="1"/>
    <n v="22600"/>
  </r>
  <r>
    <x v="2"/>
    <n v="2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Produto">
  <location ref="A3:B7" firstHeaderRow="1" firstDataRow="1" firstDataCol="1"/>
  <pivotFields count="11"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2">
        <item x="2"/>
        <item x="5"/>
        <item x="1"/>
        <item x="8"/>
        <item x="15"/>
        <item x="13"/>
        <item x="4"/>
        <item x="7"/>
        <item x="10"/>
        <item x="16"/>
        <item x="9"/>
        <item x="17"/>
        <item x="12"/>
        <item x="14"/>
        <item x="3"/>
        <item x="19"/>
        <item x="11"/>
        <item x="6"/>
        <item x="18"/>
        <item x="0"/>
        <item x="20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eita Total" fld="9" baseField="0" baseItem="0" numFmtId="44"/>
  </dataFields>
  <formats count="1">
    <format dxfId="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0" rowHeaderCaption="Produto">
  <location ref="A3:B7" firstHeaderRow="1" firstDataRow="1" firstDataCol="1"/>
  <pivotFields count="11">
    <pivotField showAll="0"/>
    <pivotField axis="axisRow" showAll="0" sortType="descending">
      <items count="5">
        <item x="2"/>
        <item x="1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eita Total" fld="9" showDataAs="percentOfTotal" baseField="0" baseItem="0" numFmtId="1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0" rowHeaderCaption="Produto">
  <location ref="A1:B5" firstHeaderRow="1" firstDataRow="1" firstDataCol="1"/>
  <pivotFields count="2">
    <pivotField axis="axisRow" showAll="0">
      <items count="5">
        <item n="Bobina de ignição" x="0"/>
        <item n="CDI" x="1"/>
        <item n="Regulador de voltagem" x="2"/>
        <item h="1" x="3"/>
        <item t="default"/>
      </items>
    </pivotField>
    <pivotField name="Soma de MC_Total2" dataField="1" numFmtId="10" showAll="0" defaultSubtotal="0">
      <items count="4">
        <item x="2"/>
        <item x="1"/>
        <item x="0"/>
        <item x="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oma de MC_Total2" fld="1" showDataAs="percentOfTotal" baseField="0" baseItem="0" numFmtId="10"/>
  </dataFields>
  <chartFormats count="3">
    <chartFormat chart="1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3" rowHeaderCaption="Meses">
  <location ref="A1:E15" firstHeaderRow="1" firstDataRow="2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Rótulo de linha" fld="10" baseField="0" baseItem="0" numFmtId="44"/>
  </dataFields>
  <formats count="3">
    <format dxfId="3">
      <pivotArea grandCol="1" outline="0" collapsedLevelsAreSubtotals="1" fieldPosition="0"/>
    </format>
    <format dxfId="2">
      <pivotArea outline="0" collapsedLevelsAreSubtotals="1" fieldPosition="0">
        <references count="1">
          <reference field="2" count="1" selected="0">
            <x v="2"/>
          </reference>
        </references>
      </pivotArea>
    </format>
    <format dxfId="1">
      <pivotArea outline="0" collapsedLevelsAreSubtotals="1" fieldPosition="0"/>
    </format>
  </formats>
  <chartFormats count="3"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grandTotalCaption="Total Geral" updatedVersion="5" minRefreshableVersion="3" useAutoFormatting="1" itemPrintTitles="1" createdVersion="5" indent="0" outline="1" outlineData="1" multipleFieldFilters="0" chartFormat="15" rowHeaderCaption="Meses">
  <location ref="A1:B14" firstHeaderRow="1" firstDataRow="1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ceita Total" fld="10" baseField="0" baseItem="0" numFmtId="44"/>
  </dataFields>
  <formats count="1">
    <format dxfId="0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3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A28:B32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Quant._Mes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ela7" displayName="Tabela7" ref="A1:B4" totalsRowShown="0">
  <autoFilter ref="A1:B4"/>
  <tableColumns count="2">
    <tableColumn id="1" name="Cod_Produto"/>
    <tableColumn id="2" name="Produto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id="6" name="Tabela6" displayName="Tabela6" ref="A1:G4" totalsRowShown="0">
  <autoFilter ref="A1:G4"/>
  <tableColumns count="7">
    <tableColumn id="1" name="Cod_Produto"/>
    <tableColumn id="2" name="Custo_Componente"/>
    <tableColumn id="3" name="Frete_Importacao"/>
    <tableColumn id="4" name="Seguro"/>
    <tableColumn id="5" name="Imposto_Importacao"/>
    <tableColumn id="7" name="Desembaraço2"/>
    <tableColumn id="8" name="Custo_Aquisicao" dataDxfId="13">
      <calculatedColumnFormula>SUM(B2:F2)</calculatedColumnFormula>
    </tableColumn>
  </tableColumns>
  <tableStyleInfo name="TableStyleMedium22" showFirstColumn="0" showLastColumn="0" showRowStripes="0" showColumnStripes="1"/>
</table>
</file>

<file path=xl/tables/table3.xml><?xml version="1.0" encoding="utf-8"?>
<table xmlns="http://schemas.openxmlformats.org/spreadsheetml/2006/main" id="8" name="Tabela8" displayName="Tabela8" ref="A1:F4" totalsRowShown="0">
  <autoFilter ref="A1:F4"/>
  <tableColumns count="6">
    <tableColumn id="1" name="Cod_Produto"/>
    <tableColumn id="2" name="MO_Direta"/>
    <tableColumn id="3" name="Energia"/>
    <tableColumn id="4" name="Manutencao"/>
    <tableColumn id="6" name="Supervisao"/>
    <tableColumn id="5" name="Custo_Producao" dataDxfId="12">
      <calculatedColumnFormula>SUM(B2:E2)</calculatedColumnFormula>
    </tableColumn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id="9" name="Tabela9" displayName="Tabela9" ref="A1:E4" totalsRowShown="0">
  <autoFilter ref="A1:E4"/>
  <tableColumns count="5">
    <tableColumn id="1" name="Cod_Produto"/>
    <tableColumn id="2" name="Comissao"/>
    <tableColumn id="3" name="Frete_Distribuicao"/>
    <tableColumn id="4" name="Impostos_Venda"/>
    <tableColumn id="5" name="Custo_Venda" dataDxfId="11">
      <calculatedColumnFormula>SUM(B2:D2)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id="10" name="Tabela10" displayName="Tabela10" ref="A1:B4" totalsRowShown="0">
  <autoFilter ref="A1:B4"/>
  <tableColumns count="2">
    <tableColumn id="1" name="Cod_Produto"/>
    <tableColumn id="2" name="Preco_Venda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id="11" name="Tabela11" displayName="Tabela11" ref="A1:B4" totalsRowShown="0">
  <autoFilter ref="A1:B4"/>
  <tableColumns count="2">
    <tableColumn id="1" name="Cod_Produto"/>
    <tableColumn id="2" name="Quant._Mes" dataDxfId="10">
      <calculatedColumnFormula>SUMIF(Dados_Analises!$B:$B, A2, Dados_Analises!$J:$J)</calculatedColumnFormula>
    </tableColumn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id="12" name="Tabela12" displayName="Tabela12" ref="A1:L37" totalsRowShown="0">
  <autoFilter ref="A1:L37"/>
  <tableColumns count="12">
    <tableColumn id="13" name="Meses" dataDxfId="9"/>
    <tableColumn id="1" name="Cod_Produto"/>
    <tableColumn id="2" name="Produto"/>
    <tableColumn id="3" name="Custo_Aquisicao" dataCellStyle="Moeda"/>
    <tableColumn id="4" name="Custo_Producao" dataCellStyle="Moeda"/>
    <tableColumn id="5" name="CPV" dataDxfId="8" dataCellStyle="Moeda"/>
    <tableColumn id="6" name="Preco_Venda" dataCellStyle="Moeda"/>
    <tableColumn id="7" name="MC" dataDxfId="7"/>
    <tableColumn id="8" name="MC%" dataDxfId="6"/>
    <tableColumn id="9" name="Volume_Vendido" dataDxfId="5"/>
    <tableColumn id="10" name="Receita" dataCellStyle="Moeda"/>
    <tableColumn id="14" name="MC_Total" dataCellStyle="Moeda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4"/>
  <sheetViews>
    <sheetView workbookViewId="0"/>
  </sheetViews>
  <sheetFormatPr defaultRowHeight="15" x14ac:dyDescent="0.25"/>
  <cols>
    <col min="1" max="1" width="14.7109375" customWidth="1"/>
    <col min="2" max="2" width="21.85546875" bestFit="1" customWidth="1"/>
  </cols>
  <sheetData>
    <row r="1" spans="1:2" x14ac:dyDescent="0.25">
      <c r="A1" t="s">
        <v>13</v>
      </c>
      <c r="B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3</v>
      </c>
    </row>
    <row r="4" spans="1:2" x14ac:dyDescent="0.25">
      <c r="A4" t="s">
        <v>2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4"/>
  <sheetViews>
    <sheetView workbookViewId="0">
      <selection activeCell="C15" sqref="C15"/>
    </sheetView>
  </sheetViews>
  <sheetFormatPr defaultRowHeight="15" x14ac:dyDescent="0.25"/>
  <cols>
    <col min="1" max="1" width="14.7109375" customWidth="1"/>
    <col min="2" max="2" width="20.42578125" customWidth="1"/>
    <col min="3" max="3" width="18.85546875" customWidth="1"/>
    <col min="4" max="4" width="9.28515625" customWidth="1"/>
    <col min="5" max="6" width="21.42578125" customWidth="1"/>
    <col min="7" max="7" width="18" bestFit="1" customWidth="1"/>
  </cols>
  <sheetData>
    <row r="1" spans="1:7" x14ac:dyDescent="0.25">
      <c r="A1" t="s">
        <v>13</v>
      </c>
      <c r="B1" t="s">
        <v>25</v>
      </c>
      <c r="C1" t="s">
        <v>26</v>
      </c>
      <c r="D1" t="s">
        <v>7</v>
      </c>
      <c r="E1" t="s">
        <v>8</v>
      </c>
      <c r="F1" t="s">
        <v>20</v>
      </c>
      <c r="G1" t="s">
        <v>14</v>
      </c>
    </row>
    <row r="2" spans="1:7" x14ac:dyDescent="0.25">
      <c r="A2" t="s">
        <v>0</v>
      </c>
      <c r="B2">
        <v>20</v>
      </c>
      <c r="C2">
        <v>2</v>
      </c>
      <c r="D2">
        <v>0.5</v>
      </c>
      <c r="E2">
        <v>4.5</v>
      </c>
      <c r="F2">
        <v>1</v>
      </c>
      <c r="G2">
        <f t="shared" ref="G2:G4" si="0">SUM(B2:F2)</f>
        <v>28</v>
      </c>
    </row>
    <row r="3" spans="1:7" x14ac:dyDescent="0.25">
      <c r="A3" t="s">
        <v>1</v>
      </c>
      <c r="B3">
        <v>30</v>
      </c>
      <c r="C3">
        <v>3</v>
      </c>
      <c r="D3">
        <v>1</v>
      </c>
      <c r="E3">
        <v>5</v>
      </c>
      <c r="F3">
        <v>1</v>
      </c>
      <c r="G3">
        <f t="shared" si="0"/>
        <v>40</v>
      </c>
    </row>
    <row r="4" spans="1:7" x14ac:dyDescent="0.25">
      <c r="A4" t="s">
        <v>2</v>
      </c>
      <c r="B4">
        <v>50</v>
      </c>
      <c r="C4">
        <v>5</v>
      </c>
      <c r="D4">
        <v>2</v>
      </c>
      <c r="E4">
        <v>7</v>
      </c>
      <c r="F4">
        <v>1</v>
      </c>
      <c r="G4">
        <f t="shared" si="0"/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F4"/>
  <sheetViews>
    <sheetView workbookViewId="0">
      <selection activeCell="C22" sqref="C22"/>
    </sheetView>
  </sheetViews>
  <sheetFormatPr defaultRowHeight="15" x14ac:dyDescent="0.25"/>
  <cols>
    <col min="1" max="1" width="14.7109375" customWidth="1"/>
    <col min="2" max="2" width="12.7109375" customWidth="1"/>
    <col min="3" max="3" width="9.7109375" customWidth="1"/>
    <col min="4" max="5" width="14.28515625" customWidth="1"/>
    <col min="6" max="6" width="17.7109375" bestFit="1" customWidth="1"/>
  </cols>
  <sheetData>
    <row r="1" spans="1:6" x14ac:dyDescent="0.25">
      <c r="A1" t="s">
        <v>13</v>
      </c>
      <c r="B1" t="s">
        <v>27</v>
      </c>
      <c r="C1" t="s">
        <v>9</v>
      </c>
      <c r="D1" t="s">
        <v>10</v>
      </c>
      <c r="E1" t="s">
        <v>11</v>
      </c>
      <c r="F1" t="s">
        <v>15</v>
      </c>
    </row>
    <row r="2" spans="1:6" x14ac:dyDescent="0.25">
      <c r="A2" t="s">
        <v>0</v>
      </c>
      <c r="B2">
        <v>4</v>
      </c>
      <c r="C2">
        <v>1.5</v>
      </c>
      <c r="D2">
        <v>0.8</v>
      </c>
      <c r="E2">
        <v>0.7</v>
      </c>
      <c r="F2">
        <f t="shared" ref="F2:F4" si="0">SUM(B2:E2)</f>
        <v>7</v>
      </c>
    </row>
    <row r="3" spans="1:6" x14ac:dyDescent="0.25">
      <c r="A3" t="s">
        <v>1</v>
      </c>
      <c r="B3">
        <v>6</v>
      </c>
      <c r="C3">
        <v>2</v>
      </c>
      <c r="D3">
        <v>1</v>
      </c>
      <c r="E3">
        <v>1</v>
      </c>
      <c r="F3">
        <f t="shared" si="0"/>
        <v>10</v>
      </c>
    </row>
    <row r="4" spans="1:6" x14ac:dyDescent="0.25">
      <c r="A4" t="s">
        <v>2</v>
      </c>
      <c r="B4">
        <v>9</v>
      </c>
      <c r="C4">
        <v>3</v>
      </c>
      <c r="D4">
        <v>1.5</v>
      </c>
      <c r="E4">
        <v>1.5</v>
      </c>
      <c r="F4">
        <f t="shared" si="0"/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E12"/>
  <sheetViews>
    <sheetView zoomScaleNormal="100" workbookViewId="0">
      <selection activeCell="E7" sqref="E7"/>
    </sheetView>
  </sheetViews>
  <sheetFormatPr defaultRowHeight="15" x14ac:dyDescent="0.25"/>
  <cols>
    <col min="1" max="1" width="14.7109375" customWidth="1"/>
    <col min="2" max="2" width="19.85546875" bestFit="1" customWidth="1"/>
    <col min="3" max="3" width="19.28515625" customWidth="1"/>
    <col min="4" max="4" width="17.7109375" customWidth="1"/>
    <col min="5" max="5" width="17.5703125" bestFit="1" customWidth="1"/>
  </cols>
  <sheetData>
    <row r="1" spans="1:5" x14ac:dyDescent="0.25">
      <c r="A1" t="s">
        <v>13</v>
      </c>
      <c r="B1" t="s">
        <v>12</v>
      </c>
      <c r="C1" t="s">
        <v>28</v>
      </c>
      <c r="D1" t="s">
        <v>29</v>
      </c>
      <c r="E1" t="s">
        <v>16</v>
      </c>
    </row>
    <row r="2" spans="1:5" x14ac:dyDescent="0.25">
      <c r="A2" t="s">
        <v>0</v>
      </c>
      <c r="B2">
        <v>5</v>
      </c>
      <c r="C2">
        <v>4</v>
      </c>
      <c r="D2">
        <v>10</v>
      </c>
      <c r="E2">
        <f t="shared" ref="E2:E4" si="0">SUM(B2:D2)</f>
        <v>19</v>
      </c>
    </row>
    <row r="3" spans="1:5" x14ac:dyDescent="0.25">
      <c r="A3" t="s">
        <v>1</v>
      </c>
      <c r="B3">
        <v>8</v>
      </c>
      <c r="C3">
        <v>5</v>
      </c>
      <c r="D3">
        <v>12</v>
      </c>
      <c r="E3">
        <f t="shared" si="0"/>
        <v>25</v>
      </c>
    </row>
    <row r="4" spans="1:5" x14ac:dyDescent="0.25">
      <c r="A4" t="s">
        <v>2</v>
      </c>
      <c r="B4">
        <v>15</v>
      </c>
      <c r="C4">
        <v>8</v>
      </c>
      <c r="D4">
        <v>17</v>
      </c>
      <c r="E4">
        <f t="shared" si="0"/>
        <v>40</v>
      </c>
    </row>
    <row r="12" spans="1:5" x14ac:dyDescent="0.25">
      <c r="D12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B4"/>
  <sheetViews>
    <sheetView workbookViewId="0">
      <selection activeCell="I9" sqref="I9"/>
    </sheetView>
  </sheetViews>
  <sheetFormatPr defaultRowHeight="15" x14ac:dyDescent="0.25"/>
  <cols>
    <col min="1" max="1" width="14.7109375" customWidth="1"/>
    <col min="2" max="2" width="14.5703125" customWidth="1"/>
  </cols>
  <sheetData>
    <row r="1" spans="1:2" x14ac:dyDescent="0.25">
      <c r="A1" t="s">
        <v>13</v>
      </c>
      <c r="B1" t="s">
        <v>17</v>
      </c>
    </row>
    <row r="2" spans="1:2" x14ac:dyDescent="0.25">
      <c r="A2" t="s">
        <v>0</v>
      </c>
      <c r="B2">
        <v>80</v>
      </c>
    </row>
    <row r="3" spans="1:2" x14ac:dyDescent="0.25">
      <c r="A3" t="s">
        <v>1</v>
      </c>
      <c r="B3">
        <v>120</v>
      </c>
    </row>
    <row r="4" spans="1:2" x14ac:dyDescent="0.25">
      <c r="A4" t="s">
        <v>2</v>
      </c>
      <c r="B4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B15"/>
  <sheetViews>
    <sheetView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</cols>
  <sheetData>
    <row r="1" spans="1:2" x14ac:dyDescent="0.25">
      <c r="A1" t="s">
        <v>13</v>
      </c>
      <c r="B1" t="s">
        <v>30</v>
      </c>
    </row>
    <row r="2" spans="1:2" x14ac:dyDescent="0.25">
      <c r="A2" t="s">
        <v>0</v>
      </c>
      <c r="B2">
        <f>SUMIF(Dados_Analises!$B:$B, A2, Dados_Analises!$J:$J)</f>
        <v>27050</v>
      </c>
    </row>
    <row r="3" spans="1:2" x14ac:dyDescent="0.25">
      <c r="A3" t="s">
        <v>1</v>
      </c>
      <c r="B3">
        <f>SUMIF(Dados_Analises!$B:$B, A3, Dados_Analises!$J:$J)</f>
        <v>22600</v>
      </c>
    </row>
    <row r="4" spans="1:2" x14ac:dyDescent="0.25">
      <c r="A4" t="s">
        <v>2</v>
      </c>
      <c r="B4">
        <f>SUMIF(Dados_Analises!$B:$B, A4, Dados_Analises!$J:$J)</f>
        <v>21800</v>
      </c>
    </row>
    <row r="15" spans="1:2" ht="19.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theme="3"/>
  </sheetPr>
  <dimension ref="A1:L37"/>
  <sheetViews>
    <sheetView zoomScale="110" zoomScaleNormal="110" workbookViewId="0">
      <pane ySplit="1" topLeftCell="A13" activePane="bottomLeft" state="frozen"/>
      <selection pane="bottomLeft" activeCell="C45" sqref="C45"/>
    </sheetView>
  </sheetViews>
  <sheetFormatPr defaultRowHeight="15" x14ac:dyDescent="0.25"/>
  <cols>
    <col min="1" max="2" width="14.7109375" customWidth="1"/>
    <col min="3" max="3" width="21.85546875" bestFit="1" customWidth="1"/>
    <col min="4" max="4" width="17.7109375" customWidth="1"/>
    <col min="5" max="5" width="17.42578125" customWidth="1"/>
    <col min="6" max="6" width="16.85546875" customWidth="1"/>
    <col min="7" max="7" width="14.85546875" customWidth="1"/>
    <col min="8" max="9" width="13.7109375" customWidth="1"/>
    <col min="10" max="10" width="19" bestFit="1" customWidth="1"/>
    <col min="11" max="11" width="18.42578125" customWidth="1"/>
    <col min="12" max="12" width="20" customWidth="1"/>
    <col min="13" max="13" width="15.140625" customWidth="1"/>
  </cols>
  <sheetData>
    <row r="1" spans="1:12" x14ac:dyDescent="0.25">
      <c r="A1" t="s">
        <v>64</v>
      </c>
      <c r="B1" t="s">
        <v>13</v>
      </c>
      <c r="C1" t="s">
        <v>5</v>
      </c>
      <c r="D1" s="7" t="s">
        <v>14</v>
      </c>
      <c r="E1" s="7" t="s">
        <v>15</v>
      </c>
      <c r="F1" s="7" t="s">
        <v>69</v>
      </c>
      <c r="G1" s="7" t="s">
        <v>17</v>
      </c>
      <c r="H1" t="s">
        <v>18</v>
      </c>
      <c r="I1" t="s">
        <v>19</v>
      </c>
      <c r="J1" t="s">
        <v>21</v>
      </c>
      <c r="K1" s="7" t="s">
        <v>22</v>
      </c>
      <c r="L1" s="7" t="s">
        <v>23</v>
      </c>
    </row>
    <row r="2" spans="1:12" x14ac:dyDescent="0.25">
      <c r="A2" s="1" t="s">
        <v>33</v>
      </c>
      <c r="B2" t="s">
        <v>0</v>
      </c>
      <c r="C2" t="s">
        <v>6</v>
      </c>
      <c r="D2" s="7">
        <v>28</v>
      </c>
      <c r="E2" s="7">
        <v>7</v>
      </c>
      <c r="F2" s="7">
        <v>35</v>
      </c>
      <c r="G2" s="7">
        <v>80</v>
      </c>
      <c r="H2" s="7">
        <v>45</v>
      </c>
      <c r="I2">
        <v>0.5625</v>
      </c>
      <c r="J2" s="1">
        <v>2500</v>
      </c>
      <c r="K2" s="7">
        <v>200000</v>
      </c>
      <c r="L2" s="7">
        <v>112500</v>
      </c>
    </row>
    <row r="3" spans="1:12" x14ac:dyDescent="0.25">
      <c r="A3" s="1" t="s">
        <v>33</v>
      </c>
      <c r="B3" t="s">
        <v>1</v>
      </c>
      <c r="C3" t="s">
        <v>3</v>
      </c>
      <c r="D3" s="7">
        <v>40</v>
      </c>
      <c r="E3" s="7">
        <v>10</v>
      </c>
      <c r="F3" s="7">
        <v>50</v>
      </c>
      <c r="G3" s="7">
        <v>120</v>
      </c>
      <c r="H3" s="7">
        <v>70</v>
      </c>
      <c r="I3">
        <f>Tabela12[[#This Row],[MC]]/Tabela12[[#This Row],[Preco_Venda]]</f>
        <v>0.58333333333333337</v>
      </c>
      <c r="J3" s="1">
        <v>1800</v>
      </c>
      <c r="K3" s="7">
        <v>216000</v>
      </c>
      <c r="L3" s="7">
        <v>126000</v>
      </c>
    </row>
    <row r="4" spans="1:12" x14ac:dyDescent="0.25">
      <c r="A4" s="1" t="s">
        <v>33</v>
      </c>
      <c r="B4" t="s">
        <v>2</v>
      </c>
      <c r="C4" t="s">
        <v>4</v>
      </c>
      <c r="D4" s="7">
        <v>65</v>
      </c>
      <c r="E4" s="7">
        <v>15</v>
      </c>
      <c r="F4" s="7">
        <v>80</v>
      </c>
      <c r="G4" s="7">
        <v>180</v>
      </c>
      <c r="H4" s="7">
        <v>100</v>
      </c>
      <c r="I4">
        <f>Tabela12[[#This Row],[MC]]/Tabela12[[#This Row],[Preco_Venda]]</f>
        <v>0.55555555555555558</v>
      </c>
      <c r="J4" s="1">
        <v>1300</v>
      </c>
      <c r="K4" s="7">
        <v>234000</v>
      </c>
      <c r="L4" s="7">
        <v>130000</v>
      </c>
    </row>
    <row r="5" spans="1:12" x14ac:dyDescent="0.25">
      <c r="A5" s="1" t="s">
        <v>34</v>
      </c>
      <c r="B5" t="s">
        <v>0</v>
      </c>
      <c r="C5" t="s">
        <v>6</v>
      </c>
      <c r="D5" s="7">
        <v>28</v>
      </c>
      <c r="E5" s="7">
        <v>7</v>
      </c>
      <c r="F5" s="7">
        <v>35</v>
      </c>
      <c r="G5" s="7">
        <v>80</v>
      </c>
      <c r="H5" s="7">
        <v>45</v>
      </c>
      <c r="I5">
        <f>Tabela12[[#This Row],[MC]]/Tabela12[[#This Row],[Preco_Venda]]</f>
        <v>0.5625</v>
      </c>
      <c r="J5" s="1">
        <v>2200</v>
      </c>
      <c r="K5" s="7">
        <v>176000</v>
      </c>
      <c r="L5" s="7">
        <v>99000</v>
      </c>
    </row>
    <row r="6" spans="1:12" x14ac:dyDescent="0.25">
      <c r="A6" s="1" t="s">
        <v>34</v>
      </c>
      <c r="B6" t="s">
        <v>1</v>
      </c>
      <c r="C6" t="s">
        <v>3</v>
      </c>
      <c r="D6" s="7">
        <v>40</v>
      </c>
      <c r="E6" s="7">
        <v>10</v>
      </c>
      <c r="F6" s="7">
        <v>50</v>
      </c>
      <c r="G6" s="7">
        <v>120</v>
      </c>
      <c r="H6" s="7">
        <v>70</v>
      </c>
      <c r="I6">
        <f>Tabela12[[#This Row],[MC]]/Tabela12[[#This Row],[Preco_Venda]]</f>
        <v>0.58333333333333337</v>
      </c>
      <c r="J6" s="1">
        <v>1750</v>
      </c>
      <c r="K6" s="7">
        <v>210000</v>
      </c>
      <c r="L6" s="7">
        <v>122500</v>
      </c>
    </row>
    <row r="7" spans="1:12" x14ac:dyDescent="0.25">
      <c r="A7" s="1" t="s">
        <v>34</v>
      </c>
      <c r="B7" t="s">
        <v>2</v>
      </c>
      <c r="C7" t="s">
        <v>4</v>
      </c>
      <c r="D7" s="7">
        <v>65</v>
      </c>
      <c r="E7" s="7">
        <v>15</v>
      </c>
      <c r="F7" s="7">
        <v>80</v>
      </c>
      <c r="G7" s="7">
        <v>180</v>
      </c>
      <c r="H7" s="7">
        <v>100</v>
      </c>
      <c r="I7">
        <f>Tabela12[[#This Row],[MC]]/Tabela12[[#This Row],[Preco_Venda]]</f>
        <v>0.55555555555555558</v>
      </c>
      <c r="J7" s="1">
        <v>1200</v>
      </c>
      <c r="K7" s="7">
        <v>216000</v>
      </c>
      <c r="L7" s="7">
        <v>120000</v>
      </c>
    </row>
    <row r="8" spans="1:12" x14ac:dyDescent="0.25">
      <c r="A8" s="1" t="s">
        <v>35</v>
      </c>
      <c r="B8" t="s">
        <v>0</v>
      </c>
      <c r="C8" t="s">
        <v>6</v>
      </c>
      <c r="D8" s="7">
        <v>28</v>
      </c>
      <c r="E8" s="7">
        <v>7</v>
      </c>
      <c r="F8" s="7">
        <v>35</v>
      </c>
      <c r="G8" s="7">
        <v>80</v>
      </c>
      <c r="H8" s="7">
        <v>45</v>
      </c>
      <c r="I8">
        <f>Tabela12[[#This Row],[MC]]/Tabela12[[#This Row],[Preco_Venda]]</f>
        <v>0.5625</v>
      </c>
      <c r="J8" s="1">
        <v>2350</v>
      </c>
      <c r="K8" s="7">
        <v>188000</v>
      </c>
      <c r="L8" s="7">
        <v>105750</v>
      </c>
    </row>
    <row r="9" spans="1:12" x14ac:dyDescent="0.25">
      <c r="A9" s="1" t="s">
        <v>35</v>
      </c>
      <c r="B9" t="s">
        <v>1</v>
      </c>
      <c r="C9" t="s">
        <v>3</v>
      </c>
      <c r="D9" s="7">
        <v>40</v>
      </c>
      <c r="E9" s="7">
        <v>10</v>
      </c>
      <c r="F9" s="7">
        <v>50</v>
      </c>
      <c r="G9" s="7">
        <v>120</v>
      </c>
      <c r="H9" s="7">
        <v>70</v>
      </c>
      <c r="I9">
        <f>Tabela12[[#This Row],[MC]]/Tabela12[[#This Row],[Preco_Venda]]</f>
        <v>0.58333333333333337</v>
      </c>
      <c r="J9" s="1">
        <v>1800</v>
      </c>
      <c r="K9" s="7">
        <v>216000</v>
      </c>
      <c r="L9" s="7">
        <v>126000</v>
      </c>
    </row>
    <row r="10" spans="1:12" x14ac:dyDescent="0.25">
      <c r="A10" s="1" t="s">
        <v>35</v>
      </c>
      <c r="B10" t="s">
        <v>2</v>
      </c>
      <c r="C10" t="s">
        <v>4</v>
      </c>
      <c r="D10" s="7">
        <v>65</v>
      </c>
      <c r="E10" s="7">
        <v>15</v>
      </c>
      <c r="F10" s="7">
        <v>80</v>
      </c>
      <c r="G10" s="7">
        <v>180</v>
      </c>
      <c r="H10" s="7">
        <v>100</v>
      </c>
      <c r="I10">
        <f>Tabela12[[#This Row],[MC]]/Tabela12[[#This Row],[Preco_Venda]]</f>
        <v>0.55555555555555558</v>
      </c>
      <c r="J10" s="1">
        <v>1600</v>
      </c>
      <c r="K10" s="7">
        <v>288000</v>
      </c>
      <c r="L10" s="7">
        <v>160000</v>
      </c>
    </row>
    <row r="11" spans="1:12" x14ac:dyDescent="0.25">
      <c r="A11" s="1" t="s">
        <v>36</v>
      </c>
      <c r="B11" t="s">
        <v>0</v>
      </c>
      <c r="C11" t="s">
        <v>6</v>
      </c>
      <c r="D11" s="7">
        <v>28</v>
      </c>
      <c r="E11" s="7">
        <v>7</v>
      </c>
      <c r="F11" s="7">
        <v>35</v>
      </c>
      <c r="G11" s="7">
        <v>80</v>
      </c>
      <c r="H11" s="7">
        <v>45</v>
      </c>
      <c r="I11">
        <f>Tabela12[[#This Row],[MC]]/Tabela12[[#This Row],[Preco_Venda]]</f>
        <v>0.5625</v>
      </c>
      <c r="J11" s="1">
        <v>2500</v>
      </c>
      <c r="K11" s="7">
        <v>200000</v>
      </c>
      <c r="L11" s="7">
        <v>112500</v>
      </c>
    </row>
    <row r="12" spans="1:12" x14ac:dyDescent="0.25">
      <c r="A12" s="1" t="s">
        <v>36</v>
      </c>
      <c r="B12" t="s">
        <v>1</v>
      </c>
      <c r="C12" t="s">
        <v>3</v>
      </c>
      <c r="D12" s="7">
        <v>40</v>
      </c>
      <c r="E12" s="7">
        <v>10</v>
      </c>
      <c r="F12" s="7">
        <v>50</v>
      </c>
      <c r="G12" s="7">
        <v>120</v>
      </c>
      <c r="H12" s="7">
        <v>70</v>
      </c>
      <c r="I12">
        <f>Tabela12[[#This Row],[MC]]/Tabela12[[#This Row],[Preco_Venda]]</f>
        <v>0.58333333333333337</v>
      </c>
      <c r="J12" s="1">
        <v>2000</v>
      </c>
      <c r="K12" s="7">
        <v>240000</v>
      </c>
      <c r="L12" s="7">
        <v>140000</v>
      </c>
    </row>
    <row r="13" spans="1:12" x14ac:dyDescent="0.25">
      <c r="A13" s="1" t="s">
        <v>36</v>
      </c>
      <c r="B13" t="s">
        <v>2</v>
      </c>
      <c r="C13" t="s">
        <v>4</v>
      </c>
      <c r="D13" s="7">
        <v>65</v>
      </c>
      <c r="E13" s="7">
        <v>15</v>
      </c>
      <c r="F13" s="7">
        <v>80</v>
      </c>
      <c r="G13" s="7">
        <v>180</v>
      </c>
      <c r="H13" s="7">
        <v>100</v>
      </c>
      <c r="I13">
        <f>Tabela12[[#This Row],[MC]]/Tabela12[[#This Row],[Preco_Venda]]</f>
        <v>0.55555555555555558</v>
      </c>
      <c r="J13" s="1">
        <v>1900</v>
      </c>
      <c r="K13" s="7">
        <v>342000</v>
      </c>
      <c r="L13" s="7">
        <v>190000</v>
      </c>
    </row>
    <row r="14" spans="1:12" x14ac:dyDescent="0.25">
      <c r="A14" s="1" t="s">
        <v>37</v>
      </c>
      <c r="B14" t="s">
        <v>0</v>
      </c>
      <c r="C14" t="s">
        <v>6</v>
      </c>
      <c r="D14" s="7">
        <v>28</v>
      </c>
      <c r="E14" s="7">
        <v>7</v>
      </c>
      <c r="F14" s="7">
        <v>35</v>
      </c>
      <c r="G14" s="7">
        <v>80</v>
      </c>
      <c r="H14" s="7">
        <v>45</v>
      </c>
      <c r="I14">
        <f>Tabela12[[#This Row],[MC]]/Tabela12[[#This Row],[Preco_Venda]]</f>
        <v>0.5625</v>
      </c>
      <c r="J14" s="1">
        <v>2300</v>
      </c>
      <c r="K14" s="7">
        <v>184000</v>
      </c>
      <c r="L14" s="7">
        <v>103500</v>
      </c>
    </row>
    <row r="15" spans="1:12" x14ac:dyDescent="0.25">
      <c r="A15" s="1" t="s">
        <v>37</v>
      </c>
      <c r="B15" t="s">
        <v>1</v>
      </c>
      <c r="C15" t="s">
        <v>3</v>
      </c>
      <c r="D15" s="7">
        <v>40</v>
      </c>
      <c r="E15" s="7">
        <v>10</v>
      </c>
      <c r="F15" s="7">
        <v>50</v>
      </c>
      <c r="G15" s="7">
        <v>120</v>
      </c>
      <c r="H15" s="7">
        <v>70</v>
      </c>
      <c r="I15">
        <f>Tabela12[[#This Row],[MC]]/Tabela12[[#This Row],[Preco_Venda]]</f>
        <v>0.58333333333333337</v>
      </c>
      <c r="J15" s="1">
        <v>1750</v>
      </c>
      <c r="K15" s="7">
        <v>210000</v>
      </c>
      <c r="L15" s="7">
        <v>122500</v>
      </c>
    </row>
    <row r="16" spans="1:12" x14ac:dyDescent="0.25">
      <c r="A16" s="1" t="s">
        <v>37</v>
      </c>
      <c r="B16" t="s">
        <v>2</v>
      </c>
      <c r="C16" t="s">
        <v>4</v>
      </c>
      <c r="D16" s="7">
        <v>65</v>
      </c>
      <c r="E16" s="7">
        <v>15</v>
      </c>
      <c r="F16" s="7">
        <v>80</v>
      </c>
      <c r="G16" s="7">
        <v>180</v>
      </c>
      <c r="H16" s="7">
        <v>100</v>
      </c>
      <c r="I16">
        <f>Tabela12[[#This Row],[MC]]/Tabela12[[#This Row],[Preco_Venda]]</f>
        <v>0.55555555555555558</v>
      </c>
      <c r="J16" s="1">
        <v>1800</v>
      </c>
      <c r="K16" s="7">
        <v>324000</v>
      </c>
      <c r="L16" s="7">
        <v>180000</v>
      </c>
    </row>
    <row r="17" spans="1:12" x14ac:dyDescent="0.25">
      <c r="A17" s="1" t="s">
        <v>38</v>
      </c>
      <c r="B17" t="s">
        <v>0</v>
      </c>
      <c r="C17" t="s">
        <v>6</v>
      </c>
      <c r="D17" s="7">
        <v>28</v>
      </c>
      <c r="E17" s="7">
        <v>7</v>
      </c>
      <c r="F17" s="7">
        <v>35</v>
      </c>
      <c r="G17" s="7">
        <v>80</v>
      </c>
      <c r="H17" s="7">
        <v>45</v>
      </c>
      <c r="I17">
        <f>Tabela12[[#This Row],[MC]]/Tabela12[[#This Row],[Preco_Venda]]</f>
        <v>0.5625</v>
      </c>
      <c r="J17" s="1">
        <v>2100</v>
      </c>
      <c r="K17" s="7">
        <v>168000</v>
      </c>
      <c r="L17" s="7">
        <v>94500</v>
      </c>
    </row>
    <row r="18" spans="1:12" x14ac:dyDescent="0.25">
      <c r="A18" s="1" t="s">
        <v>38</v>
      </c>
      <c r="B18" t="s">
        <v>1</v>
      </c>
      <c r="C18" t="s">
        <v>3</v>
      </c>
      <c r="D18" s="7">
        <v>40</v>
      </c>
      <c r="E18" s="7">
        <v>10</v>
      </c>
      <c r="F18" s="7">
        <v>50</v>
      </c>
      <c r="G18" s="7">
        <v>120</v>
      </c>
      <c r="H18" s="7">
        <v>70</v>
      </c>
      <c r="I18">
        <f>Tabela12[[#This Row],[MC]]/Tabela12[[#This Row],[Preco_Venda]]</f>
        <v>0.58333333333333337</v>
      </c>
      <c r="J18" s="1">
        <v>1600</v>
      </c>
      <c r="K18" s="7">
        <v>192000</v>
      </c>
      <c r="L18" s="7">
        <v>112000</v>
      </c>
    </row>
    <row r="19" spans="1:12" x14ac:dyDescent="0.25">
      <c r="A19" s="1" t="s">
        <v>38</v>
      </c>
      <c r="B19" t="s">
        <v>2</v>
      </c>
      <c r="C19" t="s">
        <v>4</v>
      </c>
      <c r="D19" s="7">
        <v>65</v>
      </c>
      <c r="E19" s="7">
        <v>15</v>
      </c>
      <c r="F19" s="7">
        <v>80</v>
      </c>
      <c r="G19" s="7">
        <v>180</v>
      </c>
      <c r="H19" s="7">
        <v>100</v>
      </c>
      <c r="I19">
        <f>Tabela12[[#This Row],[MC]]/Tabela12[[#This Row],[Preco_Venda]]</f>
        <v>0.55555555555555558</v>
      </c>
      <c r="J19" s="1">
        <v>1700</v>
      </c>
      <c r="K19" s="7">
        <v>306000</v>
      </c>
      <c r="L19" s="7">
        <v>170000</v>
      </c>
    </row>
    <row r="20" spans="1:12" x14ac:dyDescent="0.25">
      <c r="A20" s="1" t="s">
        <v>39</v>
      </c>
      <c r="B20" t="s">
        <v>0</v>
      </c>
      <c r="C20" t="s">
        <v>6</v>
      </c>
      <c r="D20" s="7">
        <v>28</v>
      </c>
      <c r="E20" s="7">
        <v>7</v>
      </c>
      <c r="F20" s="7">
        <v>35</v>
      </c>
      <c r="G20" s="7">
        <v>80</v>
      </c>
      <c r="H20" s="7">
        <v>45</v>
      </c>
      <c r="I20">
        <f>Tabela12[[#This Row],[MC]]/Tabela12[[#This Row],[Preco_Venda]]</f>
        <v>0.5625</v>
      </c>
      <c r="J20" s="1">
        <v>2150</v>
      </c>
      <c r="K20" s="7">
        <v>172000</v>
      </c>
      <c r="L20" s="7">
        <v>96750</v>
      </c>
    </row>
    <row r="21" spans="1:12" x14ac:dyDescent="0.25">
      <c r="A21" s="1" t="s">
        <v>39</v>
      </c>
      <c r="B21" t="s">
        <v>1</v>
      </c>
      <c r="C21" t="s">
        <v>3</v>
      </c>
      <c r="D21" s="7">
        <v>40</v>
      </c>
      <c r="E21" s="7">
        <v>10</v>
      </c>
      <c r="F21" s="7">
        <v>50</v>
      </c>
      <c r="G21" s="7">
        <v>120</v>
      </c>
      <c r="H21" s="7">
        <v>70</v>
      </c>
      <c r="I21">
        <f>Tabela12[[#This Row],[MC]]/Tabela12[[#This Row],[Preco_Venda]]</f>
        <v>0.58333333333333337</v>
      </c>
      <c r="J21" s="1">
        <v>1650</v>
      </c>
      <c r="K21" s="7">
        <v>198000</v>
      </c>
      <c r="L21" s="7">
        <v>115500</v>
      </c>
    </row>
    <row r="22" spans="1:12" x14ac:dyDescent="0.25">
      <c r="A22" s="1" t="s">
        <v>39</v>
      </c>
      <c r="B22" t="s">
        <v>2</v>
      </c>
      <c r="C22" t="s">
        <v>4</v>
      </c>
      <c r="D22" s="7">
        <v>65</v>
      </c>
      <c r="E22" s="7">
        <v>15</v>
      </c>
      <c r="F22" s="7">
        <v>80</v>
      </c>
      <c r="G22" s="7">
        <v>180</v>
      </c>
      <c r="H22" s="7">
        <v>100</v>
      </c>
      <c r="I22">
        <f>Tabela12[[#This Row],[MC]]/Tabela12[[#This Row],[Preco_Venda]]</f>
        <v>0.55555555555555558</v>
      </c>
      <c r="J22" s="1">
        <v>1800</v>
      </c>
      <c r="K22" s="7">
        <v>324000</v>
      </c>
      <c r="L22" s="7">
        <v>180000</v>
      </c>
    </row>
    <row r="23" spans="1:12" x14ac:dyDescent="0.25">
      <c r="A23" s="1" t="s">
        <v>40</v>
      </c>
      <c r="B23" t="s">
        <v>0</v>
      </c>
      <c r="C23" t="s">
        <v>6</v>
      </c>
      <c r="D23" s="7">
        <v>28</v>
      </c>
      <c r="E23" s="7">
        <v>7</v>
      </c>
      <c r="F23" s="7">
        <v>35</v>
      </c>
      <c r="G23" s="7">
        <v>80</v>
      </c>
      <c r="H23" s="7">
        <v>45</v>
      </c>
      <c r="I23">
        <f>Tabela12[[#This Row],[MC]]/Tabela12[[#This Row],[Preco_Venda]]</f>
        <v>0.5625</v>
      </c>
      <c r="J23" s="1">
        <v>1950</v>
      </c>
      <c r="K23" s="7">
        <v>156000</v>
      </c>
      <c r="L23" s="7">
        <v>87750</v>
      </c>
    </row>
    <row r="24" spans="1:12" x14ac:dyDescent="0.25">
      <c r="A24" s="1" t="s">
        <v>40</v>
      </c>
      <c r="B24" t="s">
        <v>1</v>
      </c>
      <c r="C24" t="s">
        <v>3</v>
      </c>
      <c r="D24" s="7">
        <v>40</v>
      </c>
      <c r="E24" s="7">
        <v>10</v>
      </c>
      <c r="F24" s="7">
        <v>50</v>
      </c>
      <c r="G24" s="7">
        <v>120</v>
      </c>
      <c r="H24" s="7">
        <v>70</v>
      </c>
      <c r="I24">
        <f>Tabela12[[#This Row],[MC]]/Tabela12[[#This Row],[Preco_Venda]]</f>
        <v>0.58333333333333337</v>
      </c>
      <c r="J24" s="1">
        <v>1800</v>
      </c>
      <c r="K24" s="7">
        <v>216000</v>
      </c>
      <c r="L24" s="7">
        <v>126000</v>
      </c>
    </row>
    <row r="25" spans="1:12" x14ac:dyDescent="0.25">
      <c r="A25" s="1" t="s">
        <v>40</v>
      </c>
      <c r="B25" t="s">
        <v>2</v>
      </c>
      <c r="C25" t="s">
        <v>4</v>
      </c>
      <c r="D25" s="7">
        <v>65</v>
      </c>
      <c r="E25" s="7">
        <v>15</v>
      </c>
      <c r="F25" s="7">
        <v>80</v>
      </c>
      <c r="G25" s="7">
        <v>180</v>
      </c>
      <c r="H25" s="7">
        <v>100</v>
      </c>
      <c r="I25">
        <f>Tabela12[[#This Row],[MC]]/Tabela12[[#This Row],[Preco_Venda]]</f>
        <v>0.55555555555555558</v>
      </c>
      <c r="J25" s="1">
        <v>1900</v>
      </c>
      <c r="K25" s="7">
        <v>342000</v>
      </c>
      <c r="L25" s="7">
        <v>190000</v>
      </c>
    </row>
    <row r="26" spans="1:12" x14ac:dyDescent="0.25">
      <c r="A26" s="1" t="s">
        <v>41</v>
      </c>
      <c r="B26" t="s">
        <v>0</v>
      </c>
      <c r="C26" t="s">
        <v>6</v>
      </c>
      <c r="D26" s="7">
        <v>28</v>
      </c>
      <c r="E26" s="7">
        <v>7</v>
      </c>
      <c r="F26" s="7">
        <v>35</v>
      </c>
      <c r="G26" s="7">
        <v>80</v>
      </c>
      <c r="H26" s="7">
        <v>45</v>
      </c>
      <c r="I26">
        <f>Tabela12[[#This Row],[MC]]/Tabela12[[#This Row],[Preco_Venda]]</f>
        <v>0.5625</v>
      </c>
      <c r="J26" s="1">
        <v>2100</v>
      </c>
      <c r="K26" s="7">
        <v>168000</v>
      </c>
      <c r="L26" s="7">
        <v>94500</v>
      </c>
    </row>
    <row r="27" spans="1:12" x14ac:dyDescent="0.25">
      <c r="A27" s="1" t="s">
        <v>41</v>
      </c>
      <c r="B27" t="s">
        <v>1</v>
      </c>
      <c r="C27" t="s">
        <v>3</v>
      </c>
      <c r="D27" s="7">
        <v>40</v>
      </c>
      <c r="E27" s="7">
        <v>10</v>
      </c>
      <c r="F27" s="7">
        <v>50</v>
      </c>
      <c r="G27" s="7">
        <v>120</v>
      </c>
      <c r="H27" s="7">
        <v>70</v>
      </c>
      <c r="I27">
        <f>Tabela12[[#This Row],[MC]]/Tabela12[[#This Row],[Preco_Venda]]</f>
        <v>0.58333333333333337</v>
      </c>
      <c r="J27" s="1">
        <v>2000</v>
      </c>
      <c r="K27" s="7">
        <v>240000</v>
      </c>
      <c r="L27" s="7">
        <v>140000</v>
      </c>
    </row>
    <row r="28" spans="1:12" x14ac:dyDescent="0.25">
      <c r="A28" s="1" t="s">
        <v>41</v>
      </c>
      <c r="B28" t="s">
        <v>2</v>
      </c>
      <c r="C28" t="s">
        <v>4</v>
      </c>
      <c r="D28" s="7">
        <v>65</v>
      </c>
      <c r="E28" s="7">
        <v>15</v>
      </c>
      <c r="F28" s="7">
        <v>80</v>
      </c>
      <c r="G28" s="7">
        <v>180</v>
      </c>
      <c r="H28" s="7">
        <v>100</v>
      </c>
      <c r="I28">
        <f>Tabela12[[#This Row],[MC]]/Tabela12[[#This Row],[Preco_Venda]]</f>
        <v>0.55555555555555558</v>
      </c>
      <c r="J28" s="1">
        <v>2100</v>
      </c>
      <c r="K28" s="7">
        <v>378000</v>
      </c>
      <c r="L28" s="7">
        <v>210000</v>
      </c>
    </row>
    <row r="29" spans="1:12" x14ac:dyDescent="0.25">
      <c r="A29" s="1" t="s">
        <v>42</v>
      </c>
      <c r="B29" t="s">
        <v>0</v>
      </c>
      <c r="C29" t="s">
        <v>6</v>
      </c>
      <c r="D29" s="7">
        <v>28</v>
      </c>
      <c r="E29" s="7">
        <v>7</v>
      </c>
      <c r="F29" s="7">
        <v>35</v>
      </c>
      <c r="G29" s="7">
        <v>80</v>
      </c>
      <c r="H29" s="7">
        <v>45</v>
      </c>
      <c r="I29">
        <f>Tabela12[[#This Row],[MC]]/Tabela12[[#This Row],[Preco_Venda]]</f>
        <v>0.5625</v>
      </c>
      <c r="J29" s="1">
        <v>2200</v>
      </c>
      <c r="K29" s="7">
        <v>176000</v>
      </c>
      <c r="L29" s="7">
        <v>99000</v>
      </c>
    </row>
    <row r="30" spans="1:12" x14ac:dyDescent="0.25">
      <c r="A30" s="1" t="s">
        <v>42</v>
      </c>
      <c r="B30" t="s">
        <v>1</v>
      </c>
      <c r="C30" t="s">
        <v>3</v>
      </c>
      <c r="D30" s="7">
        <v>40</v>
      </c>
      <c r="E30" s="7">
        <v>10</v>
      </c>
      <c r="F30" s="7">
        <v>50</v>
      </c>
      <c r="G30" s="7">
        <v>120</v>
      </c>
      <c r="H30" s="7">
        <v>70</v>
      </c>
      <c r="I30">
        <f>Tabela12[[#This Row],[MC]]/Tabela12[[#This Row],[Preco_Venda]]</f>
        <v>0.58333333333333337</v>
      </c>
      <c r="J30" s="1">
        <v>2050</v>
      </c>
      <c r="K30" s="7">
        <v>246000</v>
      </c>
      <c r="L30" s="7">
        <v>143500</v>
      </c>
    </row>
    <row r="31" spans="1:12" x14ac:dyDescent="0.25">
      <c r="A31" s="1" t="s">
        <v>42</v>
      </c>
      <c r="B31" t="s">
        <v>2</v>
      </c>
      <c r="C31" t="s">
        <v>4</v>
      </c>
      <c r="D31" s="7">
        <v>65</v>
      </c>
      <c r="E31" s="7">
        <v>15</v>
      </c>
      <c r="F31" s="7">
        <v>80</v>
      </c>
      <c r="G31" s="7">
        <v>180</v>
      </c>
      <c r="H31" s="7">
        <v>100</v>
      </c>
      <c r="I31">
        <f>Tabela12[[#This Row],[MC]]/Tabela12[[#This Row],[Preco_Venda]]</f>
        <v>0.55555555555555558</v>
      </c>
      <c r="J31" s="1">
        <v>2000</v>
      </c>
      <c r="K31" s="7">
        <v>360000</v>
      </c>
      <c r="L31" s="7">
        <v>200000</v>
      </c>
    </row>
    <row r="32" spans="1:12" x14ac:dyDescent="0.25">
      <c r="A32" s="1" t="s">
        <v>43</v>
      </c>
      <c r="B32" t="s">
        <v>0</v>
      </c>
      <c r="C32" t="s">
        <v>6</v>
      </c>
      <c r="D32" s="7">
        <v>28</v>
      </c>
      <c r="E32" s="7">
        <v>7</v>
      </c>
      <c r="F32" s="7">
        <v>35</v>
      </c>
      <c r="G32" s="7">
        <v>80</v>
      </c>
      <c r="H32" s="7">
        <v>45</v>
      </c>
      <c r="I32">
        <f>Tabela12[[#This Row],[MC]]/Tabela12[[#This Row],[Preco_Venda]]</f>
        <v>0.5625</v>
      </c>
      <c r="J32" s="1">
        <v>2300</v>
      </c>
      <c r="K32" s="7">
        <v>184000</v>
      </c>
      <c r="L32" s="7">
        <v>103500</v>
      </c>
    </row>
    <row r="33" spans="1:12" x14ac:dyDescent="0.25">
      <c r="A33" s="1" t="s">
        <v>43</v>
      </c>
      <c r="B33" t="s">
        <v>1</v>
      </c>
      <c r="C33" t="s">
        <v>3</v>
      </c>
      <c r="D33" s="7">
        <v>40</v>
      </c>
      <c r="E33" s="7">
        <v>10</v>
      </c>
      <c r="F33" s="7">
        <v>50</v>
      </c>
      <c r="G33" s="7">
        <v>120</v>
      </c>
      <c r="H33" s="7">
        <v>70</v>
      </c>
      <c r="I33">
        <f>Tabela12[[#This Row],[MC]]/Tabela12[[#This Row],[Preco_Venda]]</f>
        <v>0.58333333333333337</v>
      </c>
      <c r="J33" s="1">
        <v>2150</v>
      </c>
      <c r="K33" s="7">
        <v>258000</v>
      </c>
      <c r="L33" s="7">
        <v>150500</v>
      </c>
    </row>
    <row r="34" spans="1:12" x14ac:dyDescent="0.25">
      <c r="A34" s="1" t="s">
        <v>43</v>
      </c>
      <c r="B34" t="s">
        <v>2</v>
      </c>
      <c r="C34" t="s">
        <v>4</v>
      </c>
      <c r="D34" s="7">
        <v>65</v>
      </c>
      <c r="E34" s="7">
        <v>15</v>
      </c>
      <c r="F34" s="7">
        <v>80</v>
      </c>
      <c r="G34" s="7">
        <v>180</v>
      </c>
      <c r="H34" s="7">
        <v>100</v>
      </c>
      <c r="I34">
        <f>Tabela12[[#This Row],[MC]]/Tabela12[[#This Row],[Preco_Venda]]</f>
        <v>0.55555555555555558</v>
      </c>
      <c r="J34" s="1">
        <v>2200</v>
      </c>
      <c r="K34" s="7">
        <v>396000</v>
      </c>
      <c r="L34" s="7">
        <v>220000</v>
      </c>
    </row>
    <row r="35" spans="1:12" x14ac:dyDescent="0.25">
      <c r="A35" s="1" t="s">
        <v>44</v>
      </c>
      <c r="B35" t="s">
        <v>0</v>
      </c>
      <c r="C35" t="s">
        <v>6</v>
      </c>
      <c r="D35" s="7">
        <v>28</v>
      </c>
      <c r="E35" s="7">
        <v>7</v>
      </c>
      <c r="F35" s="7">
        <v>35</v>
      </c>
      <c r="G35" s="7">
        <v>80</v>
      </c>
      <c r="H35" s="7">
        <v>45</v>
      </c>
      <c r="I35">
        <f>Tabela12[[#This Row],[MC]]/Tabela12[[#This Row],[Preco_Venda]]</f>
        <v>0.5625</v>
      </c>
      <c r="J35" s="1">
        <v>2400</v>
      </c>
      <c r="K35" s="7">
        <v>192000</v>
      </c>
      <c r="L35" s="7">
        <v>108000</v>
      </c>
    </row>
    <row r="36" spans="1:12" x14ac:dyDescent="0.25">
      <c r="A36" s="1" t="s">
        <v>44</v>
      </c>
      <c r="B36" t="s">
        <v>1</v>
      </c>
      <c r="C36" t="s">
        <v>3</v>
      </c>
      <c r="D36" s="7">
        <v>40</v>
      </c>
      <c r="E36" s="7">
        <v>10</v>
      </c>
      <c r="F36" s="7">
        <v>50</v>
      </c>
      <c r="G36" s="7">
        <v>120</v>
      </c>
      <c r="H36" s="7">
        <v>70</v>
      </c>
      <c r="I36">
        <f>Tabela12[[#This Row],[MC]]/Tabela12[[#This Row],[Preco_Venda]]</f>
        <v>0.58333333333333337</v>
      </c>
      <c r="J36" s="1">
        <v>2250</v>
      </c>
      <c r="K36" s="7">
        <v>270000</v>
      </c>
      <c r="L36" s="7">
        <v>157500</v>
      </c>
    </row>
    <row r="37" spans="1:12" x14ac:dyDescent="0.25">
      <c r="A37" s="1" t="s">
        <v>44</v>
      </c>
      <c r="B37" t="s">
        <v>2</v>
      </c>
      <c r="C37" t="s">
        <v>4</v>
      </c>
      <c r="D37" s="7">
        <v>65</v>
      </c>
      <c r="E37" s="7">
        <v>15</v>
      </c>
      <c r="F37" s="7">
        <v>80</v>
      </c>
      <c r="G37" s="7">
        <v>180</v>
      </c>
      <c r="H37" s="7">
        <v>100</v>
      </c>
      <c r="I37">
        <f>Tabela12[[#This Row],[MC]]/Tabela12[[#This Row],[Preco_Venda]]</f>
        <v>0.55555555555555558</v>
      </c>
      <c r="J37" s="1">
        <v>2300</v>
      </c>
      <c r="K37" s="7">
        <v>414000</v>
      </c>
      <c r="L37" s="7">
        <v>230000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>
    <tabColor rgb="FF00B050"/>
  </sheetPr>
  <dimension ref="A3:B7"/>
  <sheetViews>
    <sheetView workbookViewId="0">
      <selection activeCell="D18" sqref="D18"/>
    </sheetView>
  </sheetViews>
  <sheetFormatPr defaultRowHeight="15" x14ac:dyDescent="0.25"/>
  <cols>
    <col min="1" max="1" width="21.85546875" customWidth="1"/>
    <col min="2" max="2" width="15.85546875" bestFit="1" customWidth="1"/>
    <col min="3" max="3" width="29.28515625" customWidth="1"/>
  </cols>
  <sheetData>
    <row r="3" spans="1:2" x14ac:dyDescent="0.25">
      <c r="A3" s="2" t="s">
        <v>5</v>
      </c>
      <c r="B3" t="s">
        <v>67</v>
      </c>
    </row>
    <row r="4" spans="1:2" x14ac:dyDescent="0.25">
      <c r="A4" s="3" t="s">
        <v>4</v>
      </c>
      <c r="B4" s="8">
        <v>3870000</v>
      </c>
    </row>
    <row r="5" spans="1:2" x14ac:dyDescent="0.25">
      <c r="A5" s="3" t="s">
        <v>3</v>
      </c>
      <c r="B5" s="8">
        <v>2676000</v>
      </c>
    </row>
    <row r="6" spans="1:2" x14ac:dyDescent="0.25">
      <c r="A6" s="3" t="s">
        <v>6</v>
      </c>
      <c r="B6" s="8">
        <v>2164000</v>
      </c>
    </row>
    <row r="7" spans="1:2" x14ac:dyDescent="0.25">
      <c r="A7" s="3" t="s">
        <v>32</v>
      </c>
      <c r="B7" s="8">
        <v>8710000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00B050"/>
  </sheetPr>
  <dimension ref="A3:B7"/>
  <sheetViews>
    <sheetView workbookViewId="0">
      <selection activeCell="G41" sqref="G41"/>
    </sheetView>
  </sheetViews>
  <sheetFormatPr defaultRowHeight="15" x14ac:dyDescent="0.25"/>
  <cols>
    <col min="1" max="1" width="21.85546875" bestFit="1" customWidth="1"/>
    <col min="2" max="2" width="12.42578125" bestFit="1" customWidth="1"/>
    <col min="3" max="3" width="22" bestFit="1" customWidth="1"/>
  </cols>
  <sheetData>
    <row r="3" spans="1:2" x14ac:dyDescent="0.25">
      <c r="A3" s="2" t="s">
        <v>5</v>
      </c>
      <c r="B3" t="s">
        <v>66</v>
      </c>
    </row>
    <row r="4" spans="1:2" x14ac:dyDescent="0.25">
      <c r="A4" s="3" t="s">
        <v>4</v>
      </c>
      <c r="B4" s="4">
        <v>0.44431687715269808</v>
      </c>
    </row>
    <row r="5" spans="1:2" x14ac:dyDescent="0.25">
      <c r="A5" s="3" t="s">
        <v>3</v>
      </c>
      <c r="B5" s="4">
        <v>0.30723306544202067</v>
      </c>
    </row>
    <row r="6" spans="1:2" x14ac:dyDescent="0.25">
      <c r="A6" s="3" t="s">
        <v>6</v>
      </c>
      <c r="B6" s="4">
        <v>0.24845005740528128</v>
      </c>
    </row>
    <row r="7" spans="1:2" x14ac:dyDescent="0.25">
      <c r="A7" s="3" t="s">
        <v>32</v>
      </c>
      <c r="B7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00B050"/>
  </sheetPr>
  <dimension ref="A1:B5"/>
  <sheetViews>
    <sheetView workbookViewId="0">
      <selection activeCell="G30" sqref="G30"/>
    </sheetView>
  </sheetViews>
  <sheetFormatPr defaultRowHeight="15" x14ac:dyDescent="0.25"/>
  <cols>
    <col min="1" max="1" width="33.42578125" customWidth="1"/>
    <col min="2" max="2" width="27" customWidth="1"/>
    <col min="3" max="4" width="19.5703125" customWidth="1"/>
    <col min="5" max="5" width="10.7109375" bestFit="1" customWidth="1"/>
  </cols>
  <sheetData>
    <row r="1" spans="1:2" ht="16.5" customHeight="1" x14ac:dyDescent="0.25">
      <c r="A1" s="2" t="s">
        <v>5</v>
      </c>
      <c r="B1" t="s">
        <v>70</v>
      </c>
    </row>
    <row r="2" spans="1:2" ht="16.5" customHeight="1" x14ac:dyDescent="0.25">
      <c r="A2" s="3" t="s">
        <v>74</v>
      </c>
      <c r="B2" s="4">
        <v>0.43045915643352911</v>
      </c>
    </row>
    <row r="3" spans="1:2" ht="16.5" customHeight="1" x14ac:dyDescent="0.25">
      <c r="A3" s="3" t="s">
        <v>3</v>
      </c>
      <c r="B3" s="4">
        <v>0.33485718099305928</v>
      </c>
    </row>
    <row r="4" spans="1:2" ht="16.5" customHeight="1" x14ac:dyDescent="0.25">
      <c r="A4" s="3" t="s">
        <v>6</v>
      </c>
      <c r="B4" s="4">
        <v>0.23468366257341164</v>
      </c>
    </row>
    <row r="5" spans="1:2" ht="16.5" customHeight="1" x14ac:dyDescent="0.25">
      <c r="A5" s="3" t="s">
        <v>32</v>
      </c>
      <c r="B5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>
    <tabColor rgb="FF00B050"/>
  </sheetPr>
  <dimension ref="A1:E15"/>
  <sheetViews>
    <sheetView workbookViewId="0">
      <selection activeCell="F26" sqref="F26"/>
    </sheetView>
  </sheetViews>
  <sheetFormatPr defaultRowHeight="15" x14ac:dyDescent="0.25"/>
  <cols>
    <col min="1" max="1" width="18" customWidth="1"/>
    <col min="2" max="2" width="19.5703125" customWidth="1"/>
    <col min="3" max="3" width="15.85546875" bestFit="1" customWidth="1"/>
    <col min="4" max="4" width="22.28515625" customWidth="1"/>
    <col min="5" max="5" width="15.85546875" bestFit="1" customWidth="1"/>
  </cols>
  <sheetData>
    <row r="1" spans="1:5" x14ac:dyDescent="0.25">
      <c r="A1" s="2" t="s">
        <v>68</v>
      </c>
      <c r="B1" s="2" t="s">
        <v>45</v>
      </c>
    </row>
    <row r="2" spans="1:5" x14ac:dyDescent="0.25">
      <c r="A2" s="2" t="s">
        <v>64</v>
      </c>
      <c r="B2" t="s">
        <v>4</v>
      </c>
      <c r="C2" t="s">
        <v>3</v>
      </c>
      <c r="D2" t="s">
        <v>6</v>
      </c>
      <c r="E2" t="s">
        <v>32</v>
      </c>
    </row>
    <row r="3" spans="1:5" ht="19.5" customHeight="1" x14ac:dyDescent="0.25">
      <c r="A3" s="3" t="s">
        <v>33</v>
      </c>
      <c r="B3" s="8">
        <v>180000</v>
      </c>
      <c r="C3" s="8">
        <v>180000</v>
      </c>
      <c r="D3" s="8">
        <v>200000</v>
      </c>
      <c r="E3" s="8">
        <v>560000</v>
      </c>
    </row>
    <row r="4" spans="1:5" ht="19.5" customHeight="1" x14ac:dyDescent="0.25">
      <c r="A4" s="3" t="s">
        <v>34</v>
      </c>
      <c r="B4" s="8">
        <v>216000</v>
      </c>
      <c r="C4" s="8">
        <v>210000</v>
      </c>
      <c r="D4" s="8">
        <v>176000</v>
      </c>
      <c r="E4" s="8">
        <v>602000</v>
      </c>
    </row>
    <row r="5" spans="1:5" ht="19.5" customHeight="1" x14ac:dyDescent="0.25">
      <c r="A5" s="3" t="s">
        <v>35</v>
      </c>
      <c r="B5" s="8">
        <v>288000</v>
      </c>
      <c r="C5" s="8">
        <v>216000</v>
      </c>
      <c r="D5" s="8">
        <v>188000</v>
      </c>
      <c r="E5" s="8">
        <v>692000</v>
      </c>
    </row>
    <row r="6" spans="1:5" ht="19.5" customHeight="1" x14ac:dyDescent="0.25">
      <c r="A6" s="3" t="s">
        <v>36</v>
      </c>
      <c r="B6" s="8">
        <v>342000</v>
      </c>
      <c r="C6" s="8">
        <v>240000</v>
      </c>
      <c r="D6" s="8">
        <v>200000</v>
      </c>
      <c r="E6" s="8">
        <v>782000</v>
      </c>
    </row>
    <row r="7" spans="1:5" ht="19.5" customHeight="1" x14ac:dyDescent="0.25">
      <c r="A7" s="3" t="s">
        <v>37</v>
      </c>
      <c r="B7" s="8">
        <v>324000</v>
      </c>
      <c r="C7" s="8">
        <v>210000</v>
      </c>
      <c r="D7" s="8">
        <v>184000</v>
      </c>
      <c r="E7" s="8">
        <v>718000</v>
      </c>
    </row>
    <row r="8" spans="1:5" ht="19.5" customHeight="1" x14ac:dyDescent="0.25">
      <c r="A8" s="3" t="s">
        <v>38</v>
      </c>
      <c r="B8" s="8">
        <v>306000</v>
      </c>
      <c r="C8" s="8">
        <v>192000</v>
      </c>
      <c r="D8" s="8">
        <v>168000</v>
      </c>
      <c r="E8" s="8">
        <v>666000</v>
      </c>
    </row>
    <row r="9" spans="1:5" ht="19.5" customHeight="1" x14ac:dyDescent="0.25">
      <c r="A9" s="3" t="s">
        <v>39</v>
      </c>
      <c r="B9" s="8">
        <v>324000</v>
      </c>
      <c r="C9" s="8">
        <v>198000</v>
      </c>
      <c r="D9" s="8">
        <v>172000</v>
      </c>
      <c r="E9" s="8">
        <v>694000</v>
      </c>
    </row>
    <row r="10" spans="1:5" ht="19.5" customHeight="1" x14ac:dyDescent="0.25">
      <c r="A10" s="3" t="s">
        <v>40</v>
      </c>
      <c r="B10" s="8">
        <v>342000</v>
      </c>
      <c r="C10" s="8">
        <v>216000</v>
      </c>
      <c r="D10" s="8">
        <v>156000</v>
      </c>
      <c r="E10" s="8">
        <v>714000</v>
      </c>
    </row>
    <row r="11" spans="1:5" ht="19.5" customHeight="1" x14ac:dyDescent="0.25">
      <c r="A11" s="3" t="s">
        <v>41</v>
      </c>
      <c r="B11" s="8">
        <v>378000</v>
      </c>
      <c r="C11" s="8">
        <v>240000</v>
      </c>
      <c r="D11" s="8">
        <v>168000</v>
      </c>
      <c r="E11" s="8">
        <v>786000</v>
      </c>
    </row>
    <row r="12" spans="1:5" ht="19.5" customHeight="1" x14ac:dyDescent="0.25">
      <c r="A12" s="3" t="s">
        <v>42</v>
      </c>
      <c r="B12" s="8">
        <v>360000</v>
      </c>
      <c r="C12" s="8">
        <v>246000</v>
      </c>
      <c r="D12" s="8">
        <v>176000</v>
      </c>
      <c r="E12" s="8">
        <v>782000</v>
      </c>
    </row>
    <row r="13" spans="1:5" ht="19.5" customHeight="1" x14ac:dyDescent="0.25">
      <c r="A13" s="3" t="s">
        <v>43</v>
      </c>
      <c r="B13" s="8">
        <v>396000</v>
      </c>
      <c r="C13" s="8">
        <v>258000</v>
      </c>
      <c r="D13" s="8">
        <v>184000</v>
      </c>
      <c r="E13" s="8">
        <v>838000</v>
      </c>
    </row>
    <row r="14" spans="1:5" ht="19.5" customHeight="1" x14ac:dyDescent="0.25">
      <c r="A14" s="3" t="s">
        <v>44</v>
      </c>
      <c r="B14" s="8">
        <v>414000</v>
      </c>
      <c r="C14" s="8">
        <v>270000</v>
      </c>
      <c r="D14" s="8">
        <v>192000</v>
      </c>
      <c r="E14" s="8">
        <v>876000</v>
      </c>
    </row>
    <row r="15" spans="1:5" ht="19.5" customHeight="1" x14ac:dyDescent="0.25">
      <c r="A15" s="3" t="s">
        <v>32</v>
      </c>
      <c r="B15" s="8">
        <v>3870000</v>
      </c>
      <c r="C15" s="8">
        <v>2676000</v>
      </c>
      <c r="D15" s="8">
        <v>2164000</v>
      </c>
      <c r="E15" s="8">
        <v>8710000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>
    <tabColor rgb="FF00B050"/>
  </sheetPr>
  <dimension ref="A1:B15"/>
  <sheetViews>
    <sheetView workbookViewId="0">
      <selection activeCell="E9" sqref="E9"/>
    </sheetView>
  </sheetViews>
  <sheetFormatPr defaultRowHeight="15" x14ac:dyDescent="0.25"/>
  <cols>
    <col min="1" max="1" width="14" customWidth="1"/>
    <col min="2" max="2" width="15.7109375" customWidth="1"/>
    <col min="3" max="3" width="8" customWidth="1"/>
    <col min="4" max="4" width="21.85546875" bestFit="1" customWidth="1"/>
    <col min="5" max="5" width="10.7109375" bestFit="1" customWidth="1"/>
  </cols>
  <sheetData>
    <row r="1" spans="1:2" x14ac:dyDescent="0.25">
      <c r="A1" s="2" t="s">
        <v>64</v>
      </c>
      <c r="B1" t="s">
        <v>66</v>
      </c>
    </row>
    <row r="2" spans="1:2" x14ac:dyDescent="0.25">
      <c r="A2" s="3" t="s">
        <v>33</v>
      </c>
      <c r="B2" s="8">
        <v>560000</v>
      </c>
    </row>
    <row r="3" spans="1:2" ht="19.5" customHeight="1" x14ac:dyDescent="0.25">
      <c r="A3" s="3" t="s">
        <v>34</v>
      </c>
      <c r="B3" s="8">
        <v>602000</v>
      </c>
    </row>
    <row r="4" spans="1:2" ht="19.5" customHeight="1" x14ac:dyDescent="0.25">
      <c r="A4" s="3" t="s">
        <v>35</v>
      </c>
      <c r="B4" s="8">
        <v>692000</v>
      </c>
    </row>
    <row r="5" spans="1:2" ht="19.5" customHeight="1" x14ac:dyDescent="0.25">
      <c r="A5" s="3" t="s">
        <v>36</v>
      </c>
      <c r="B5" s="8">
        <v>782000</v>
      </c>
    </row>
    <row r="6" spans="1:2" ht="19.5" customHeight="1" x14ac:dyDescent="0.25">
      <c r="A6" s="3" t="s">
        <v>37</v>
      </c>
      <c r="B6" s="8">
        <v>718000</v>
      </c>
    </row>
    <row r="7" spans="1:2" ht="19.5" customHeight="1" x14ac:dyDescent="0.25">
      <c r="A7" s="3" t="s">
        <v>38</v>
      </c>
      <c r="B7" s="8">
        <v>666000</v>
      </c>
    </row>
    <row r="8" spans="1:2" ht="19.5" customHeight="1" x14ac:dyDescent="0.25">
      <c r="A8" s="3" t="s">
        <v>39</v>
      </c>
      <c r="B8" s="8">
        <v>694000</v>
      </c>
    </row>
    <row r="9" spans="1:2" ht="19.5" customHeight="1" x14ac:dyDescent="0.25">
      <c r="A9" s="3" t="s">
        <v>40</v>
      </c>
      <c r="B9" s="8">
        <v>714000</v>
      </c>
    </row>
    <row r="10" spans="1:2" ht="19.5" customHeight="1" x14ac:dyDescent="0.25">
      <c r="A10" s="3" t="s">
        <v>41</v>
      </c>
      <c r="B10" s="8">
        <v>786000</v>
      </c>
    </row>
    <row r="11" spans="1:2" ht="19.5" customHeight="1" x14ac:dyDescent="0.25">
      <c r="A11" s="3" t="s">
        <v>42</v>
      </c>
      <c r="B11" s="8">
        <v>782000</v>
      </c>
    </row>
    <row r="12" spans="1:2" ht="19.5" customHeight="1" x14ac:dyDescent="0.25">
      <c r="A12" s="3" t="s">
        <v>43</v>
      </c>
      <c r="B12" s="8">
        <v>838000</v>
      </c>
    </row>
    <row r="13" spans="1:2" ht="19.5" customHeight="1" x14ac:dyDescent="0.25">
      <c r="A13" s="3" t="s">
        <v>44</v>
      </c>
      <c r="B13" s="8">
        <v>876000</v>
      </c>
    </row>
    <row r="14" spans="1:2" ht="19.5" customHeight="1" x14ac:dyDescent="0.25">
      <c r="A14" s="3" t="s">
        <v>32</v>
      </c>
      <c r="B14" s="8">
        <v>8710000</v>
      </c>
    </row>
    <row r="15" spans="1:2" ht="19.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>
    <tabColor theme="9" tint="-0.249977111117893"/>
  </sheetPr>
  <dimension ref="A1:G37"/>
  <sheetViews>
    <sheetView tabSelected="1" topLeftCell="A5" zoomScale="50" zoomScaleNormal="50" workbookViewId="0">
      <selection activeCell="S51" sqref="S51:S52"/>
    </sheetView>
  </sheetViews>
  <sheetFormatPr defaultRowHeight="15" x14ac:dyDescent="0.25"/>
  <cols>
    <col min="1" max="1" width="26.42578125" customWidth="1"/>
    <col min="2" max="2" width="20.140625" customWidth="1"/>
  </cols>
  <sheetData>
    <row r="1" spans="1:2" ht="20.25" customHeight="1" x14ac:dyDescent="0.3">
      <c r="A1" s="22" t="s">
        <v>60</v>
      </c>
      <c r="B1" s="22" t="s">
        <v>61</v>
      </c>
    </row>
    <row r="2" spans="1:2" ht="20.25" customHeight="1" x14ac:dyDescent="0.25">
      <c r="A2" t="s">
        <v>32</v>
      </c>
      <c r="B2" s="7">
        <v>8710000</v>
      </c>
    </row>
    <row r="3" spans="1:2" ht="20.25" customHeight="1" x14ac:dyDescent="0.25">
      <c r="A3" t="s">
        <v>62</v>
      </c>
      <c r="B3" s="7">
        <v>2996800</v>
      </c>
    </row>
    <row r="4" spans="1:2" ht="20.25" customHeight="1" x14ac:dyDescent="0.25">
      <c r="A4" t="s">
        <v>71</v>
      </c>
      <c r="B4" s="5" t="s">
        <v>63</v>
      </c>
    </row>
    <row r="5" spans="1:2" ht="20.25" customHeight="1" x14ac:dyDescent="0.25">
      <c r="A5" t="s">
        <v>72</v>
      </c>
      <c r="B5" s="6" t="s">
        <v>73</v>
      </c>
    </row>
    <row r="6" spans="1:2" ht="17.25" customHeight="1" x14ac:dyDescent="0.25">
      <c r="B6" s="6"/>
    </row>
    <row r="7" spans="1:2" ht="17.25" customHeight="1" x14ac:dyDescent="0.25">
      <c r="B7" s="6"/>
    </row>
    <row r="8" spans="1:2" ht="17.25" customHeight="1" x14ac:dyDescent="0.25">
      <c r="B8" s="6"/>
    </row>
    <row r="9" spans="1:2" ht="15.75" customHeight="1" x14ac:dyDescent="0.25">
      <c r="B9" s="6"/>
    </row>
    <row r="27" spans="1:7" ht="12.75" customHeight="1" x14ac:dyDescent="0.25">
      <c r="G27" s="4"/>
    </row>
    <row r="28" spans="1:7" x14ac:dyDescent="0.25">
      <c r="A28" s="2" t="s">
        <v>31</v>
      </c>
      <c r="B28" t="s">
        <v>75</v>
      </c>
    </row>
    <row r="29" spans="1:7" x14ac:dyDescent="0.25">
      <c r="A29" s="3" t="s">
        <v>0</v>
      </c>
      <c r="B29" s="1">
        <v>27050</v>
      </c>
    </row>
    <row r="30" spans="1:7" x14ac:dyDescent="0.25">
      <c r="A30" s="3" t="s">
        <v>1</v>
      </c>
      <c r="B30" s="1">
        <v>22600</v>
      </c>
    </row>
    <row r="31" spans="1:7" x14ac:dyDescent="0.25">
      <c r="A31" s="3" t="s">
        <v>2</v>
      </c>
      <c r="B31" s="1">
        <v>21800</v>
      </c>
    </row>
    <row r="32" spans="1:7" x14ac:dyDescent="0.25">
      <c r="A32" s="3" t="s">
        <v>32</v>
      </c>
      <c r="B32" s="1">
        <v>71450</v>
      </c>
      <c r="G32" s="4"/>
    </row>
    <row r="33" spans="6:7" x14ac:dyDescent="0.25">
      <c r="F33" s="4"/>
    </row>
    <row r="37" spans="6:7" x14ac:dyDescent="0.25">
      <c r="G37" s="4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>
    <tabColor rgb="FF7030A0"/>
  </sheetPr>
  <dimension ref="A1:F26"/>
  <sheetViews>
    <sheetView zoomScale="60" zoomScaleNormal="60" workbookViewId="0">
      <selection activeCell="B10" sqref="B10"/>
    </sheetView>
  </sheetViews>
  <sheetFormatPr defaultRowHeight="15" x14ac:dyDescent="0.25"/>
  <cols>
    <col min="1" max="1" width="87" customWidth="1"/>
    <col min="2" max="2" width="102.7109375" customWidth="1"/>
    <col min="3" max="3" width="25.7109375" customWidth="1"/>
  </cols>
  <sheetData>
    <row r="1" spans="1:6" ht="31.5" x14ac:dyDescent="0.25">
      <c r="A1" s="23" t="s">
        <v>55</v>
      </c>
      <c r="B1" s="23"/>
      <c r="C1" s="23"/>
      <c r="D1" s="9"/>
      <c r="E1" s="9"/>
      <c r="F1" s="9"/>
    </row>
    <row r="2" spans="1:6" ht="31.5" x14ac:dyDescent="0.25">
      <c r="A2" s="10"/>
      <c r="B2" s="10"/>
      <c r="C2" s="10"/>
      <c r="D2" s="9"/>
      <c r="E2" s="9"/>
      <c r="F2" s="9"/>
    </row>
    <row r="3" spans="1:6" ht="31.5" x14ac:dyDescent="0.35">
      <c r="A3" s="11" t="s">
        <v>56</v>
      </c>
      <c r="B3" s="10"/>
      <c r="C3" s="10"/>
      <c r="D3" s="9"/>
      <c r="E3" s="9"/>
      <c r="F3" s="9"/>
    </row>
    <row r="4" spans="1:6" ht="31.5" x14ac:dyDescent="0.35">
      <c r="A4" s="12" t="s">
        <v>57</v>
      </c>
      <c r="B4" s="10"/>
      <c r="C4" s="10"/>
      <c r="D4" s="9"/>
      <c r="E4" s="9"/>
      <c r="F4" s="9"/>
    </row>
    <row r="5" spans="1:6" ht="36.75" customHeight="1" x14ac:dyDescent="0.25">
      <c r="A5" s="9"/>
      <c r="B5" s="9"/>
      <c r="C5" s="9"/>
      <c r="D5" s="9"/>
      <c r="E5" s="9"/>
      <c r="F5" s="9"/>
    </row>
    <row r="6" spans="1:6" ht="36.75" customHeight="1" x14ac:dyDescent="0.4">
      <c r="A6" s="13" t="s">
        <v>46</v>
      </c>
      <c r="B6" s="13" t="s">
        <v>47</v>
      </c>
      <c r="C6" s="9"/>
      <c r="D6" s="9"/>
      <c r="E6" s="9"/>
      <c r="F6" s="9"/>
    </row>
    <row r="7" spans="1:6" ht="36.75" customHeight="1" x14ac:dyDescent="0.25">
      <c r="A7" s="9" t="s">
        <v>48</v>
      </c>
      <c r="B7" s="9" t="s">
        <v>49</v>
      </c>
      <c r="C7" s="9"/>
      <c r="D7" s="9"/>
      <c r="E7" s="9"/>
      <c r="F7" s="9"/>
    </row>
    <row r="8" spans="1:6" ht="36.75" customHeight="1" x14ac:dyDescent="0.25">
      <c r="A8" s="9" t="s">
        <v>50</v>
      </c>
      <c r="B8" s="14" t="s">
        <v>65</v>
      </c>
      <c r="C8" s="9"/>
      <c r="D8" s="9"/>
      <c r="E8" s="9"/>
      <c r="F8" s="9"/>
    </row>
    <row r="9" spans="1:6" ht="36.75" customHeight="1" x14ac:dyDescent="0.25">
      <c r="A9" s="15" t="s">
        <v>58</v>
      </c>
      <c r="B9" s="16" t="s">
        <v>79</v>
      </c>
      <c r="C9" s="9"/>
      <c r="D9" s="9"/>
      <c r="E9" s="9"/>
      <c r="F9" s="9"/>
    </row>
    <row r="10" spans="1:6" ht="36.75" customHeight="1" x14ac:dyDescent="0.25">
      <c r="A10" s="9" t="s">
        <v>52</v>
      </c>
      <c r="B10" s="17" t="s">
        <v>53</v>
      </c>
      <c r="C10" s="9"/>
      <c r="D10" s="9"/>
      <c r="E10" s="9"/>
      <c r="F10" s="9"/>
    </row>
    <row r="11" spans="1:6" ht="36.75" customHeight="1" x14ac:dyDescent="0.25">
      <c r="A11" s="9" t="s">
        <v>51</v>
      </c>
      <c r="B11" s="18" t="s">
        <v>76</v>
      </c>
      <c r="C11" s="9"/>
      <c r="D11" s="9"/>
      <c r="E11" s="9"/>
      <c r="F11" s="9"/>
    </row>
    <row r="12" spans="1:6" ht="36.75" customHeight="1" x14ac:dyDescent="0.25">
      <c r="A12" s="9" t="s">
        <v>54</v>
      </c>
      <c r="B12" s="16" t="s">
        <v>77</v>
      </c>
      <c r="C12" s="16"/>
      <c r="D12" s="9"/>
      <c r="E12" s="9"/>
      <c r="F12" s="9"/>
    </row>
    <row r="13" spans="1:6" ht="36.75" customHeight="1" x14ac:dyDescent="0.25">
      <c r="A13" s="9"/>
      <c r="B13" s="16"/>
      <c r="C13" s="16"/>
      <c r="D13" s="9"/>
      <c r="E13" s="9"/>
      <c r="F13" s="9"/>
    </row>
    <row r="14" spans="1:6" ht="36.75" customHeight="1" x14ac:dyDescent="0.25">
      <c r="A14" s="9"/>
      <c r="B14" s="9"/>
      <c r="C14" s="9"/>
      <c r="D14" s="9"/>
      <c r="E14" s="9"/>
      <c r="F14" s="9"/>
    </row>
    <row r="15" spans="1:6" ht="38.25" customHeight="1" x14ac:dyDescent="0.45">
      <c r="A15" s="19" t="s">
        <v>59</v>
      </c>
      <c r="B15" s="9"/>
      <c r="C15" s="9"/>
      <c r="D15" s="9"/>
      <c r="E15" s="9"/>
      <c r="F15" s="9"/>
    </row>
    <row r="16" spans="1:6" ht="28.5" customHeight="1" x14ac:dyDescent="0.25">
      <c r="A16" s="24" t="s">
        <v>78</v>
      </c>
      <c r="B16" s="20"/>
      <c r="C16" s="20"/>
      <c r="D16" s="9"/>
      <c r="E16" s="9"/>
      <c r="F16" s="9"/>
    </row>
    <row r="17" spans="1:6" ht="28.5" customHeight="1" x14ac:dyDescent="0.25">
      <c r="A17" s="25"/>
      <c r="B17" s="20"/>
      <c r="C17" s="20"/>
      <c r="D17" s="9"/>
      <c r="E17" s="9"/>
      <c r="F17" s="9"/>
    </row>
    <row r="18" spans="1:6" ht="28.5" customHeight="1" x14ac:dyDescent="0.25">
      <c r="A18" s="25"/>
      <c r="B18" s="20"/>
      <c r="C18" s="20"/>
      <c r="D18" s="9"/>
      <c r="E18" s="9"/>
      <c r="F18" s="9"/>
    </row>
    <row r="19" spans="1:6" ht="28.5" customHeight="1" x14ac:dyDescent="0.25">
      <c r="A19" s="25"/>
      <c r="B19" s="9"/>
      <c r="C19" s="9"/>
      <c r="D19" s="9"/>
      <c r="E19" s="9"/>
      <c r="F19" s="9"/>
    </row>
    <row r="20" spans="1:6" ht="28.5" customHeight="1" x14ac:dyDescent="0.25">
      <c r="A20" s="25"/>
      <c r="B20" s="9"/>
      <c r="C20" s="9"/>
      <c r="D20" s="9"/>
      <c r="E20" s="9"/>
      <c r="F20" s="9"/>
    </row>
    <row r="21" spans="1:6" ht="28.5" customHeight="1" x14ac:dyDescent="0.25">
      <c r="A21" s="25"/>
      <c r="B21" s="9"/>
      <c r="C21" s="9"/>
      <c r="D21" s="9"/>
      <c r="E21" s="9"/>
      <c r="F21" s="9"/>
    </row>
    <row r="22" spans="1:6" ht="28.5" customHeight="1" x14ac:dyDescent="0.25">
      <c r="A22" s="25"/>
      <c r="B22" s="9"/>
      <c r="C22" s="9"/>
      <c r="D22" s="9"/>
      <c r="E22" s="9"/>
      <c r="F22" s="9"/>
    </row>
    <row r="23" spans="1:6" ht="28.5" customHeight="1" x14ac:dyDescent="0.25">
      <c r="A23" s="26"/>
      <c r="B23" s="9"/>
      <c r="C23" s="9"/>
      <c r="D23" s="9"/>
      <c r="E23" s="9"/>
      <c r="F23" s="9"/>
    </row>
    <row r="24" spans="1:6" ht="28.5" customHeight="1" x14ac:dyDescent="0.25">
      <c r="A24" s="21"/>
      <c r="B24" s="9"/>
      <c r="C24" s="9"/>
      <c r="D24" s="9"/>
      <c r="E24" s="9"/>
      <c r="F24" s="9"/>
    </row>
    <row r="25" spans="1:6" ht="28.5" customHeight="1" x14ac:dyDescent="0.25">
      <c r="A25" s="21"/>
      <c r="B25" s="9"/>
      <c r="C25" s="9"/>
      <c r="D25" s="9"/>
      <c r="E25" s="9"/>
      <c r="F25" s="9"/>
    </row>
    <row r="26" spans="1:6" ht="28.5" customHeight="1" x14ac:dyDescent="0.25">
      <c r="A26" s="21"/>
      <c r="B26" s="9"/>
      <c r="C26" s="9"/>
      <c r="D26" s="9"/>
      <c r="E26" s="9"/>
      <c r="F26" s="9"/>
    </row>
  </sheetData>
  <mergeCells count="2">
    <mergeCell ref="A1:C1"/>
    <mergeCell ref="A16:A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Produtos</vt:lpstr>
      <vt:lpstr>Importacao</vt:lpstr>
      <vt:lpstr>Producao</vt:lpstr>
      <vt:lpstr>Despesas venda</vt:lpstr>
      <vt:lpstr>Preço_venda</vt:lpstr>
      <vt:lpstr>Volume_vendido</vt:lpstr>
      <vt:lpstr>Dados_Analises</vt:lpstr>
      <vt:lpstr>1. Rentabilidade_produto</vt:lpstr>
      <vt:lpstr>2. Participacao_receita</vt:lpstr>
      <vt:lpstr>3. Participacao_MC</vt:lpstr>
      <vt:lpstr>4. Faturamento_anual</vt:lpstr>
      <vt:lpstr>5. Evolucao_mensal</vt:lpstr>
      <vt:lpstr>Dashboards</vt:lpstr>
      <vt:lpstr>Conclusoes_Gerenciais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2026-06-23T01:32:09Z</dcterms:modified>
</cp:coreProperties>
</file>